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8001_{02882A97-FC65-4699-9D44-23E7084886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LEMELA" sheetId="1" r:id="rId1"/>
    <sheet name="BUCHOSA" sheetId="2" r:id="rId2"/>
    <sheet name="NYAMAGANA" sheetId="3" r:id="rId3"/>
    <sheet name="SENGEREMA" sheetId="4" r:id="rId4"/>
    <sheet name="UKEREWE" sheetId="5" r:id="rId5"/>
    <sheet name="KWIMBA" sheetId="6" r:id="rId6"/>
    <sheet name="MAGU" sheetId="7" r:id="rId7"/>
    <sheet name="MISUNGWI" sheetId="8" r:id="rId8"/>
  </sheets>
  <definedNames>
    <definedName name="_xlnm._FilterDatabase" localSheetId="1" hidden="1">BUCHOSA!$A$3:$H$48</definedName>
    <definedName name="_xlnm._FilterDatabase" localSheetId="0" hidden="1">ILEMELA!$B$3:$H$75</definedName>
    <definedName name="_xlnm._FilterDatabase" localSheetId="2" hidden="1">NYAMAGANA!$A$3:$H$61</definedName>
    <definedName name="_xlnm._FilterDatabase" localSheetId="3" hidden="1">SENGEREMA!$A$3:$H$81</definedName>
    <definedName name="_xlnm._FilterDatabase" localSheetId="4" hidden="1">UKEREWE!$A$3:$H$73</definedName>
    <definedName name="_xlnm.Print_Area" localSheetId="0">ILEMELA!$B$1:$H$76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8" l="1"/>
  <c r="H16" i="5"/>
  <c r="H38" i="3"/>
  <c r="H20" i="3"/>
  <c r="H7" i="4"/>
  <c r="H13" i="5"/>
  <c r="H12" i="5"/>
  <c r="H14" i="5"/>
  <c r="H15" i="5"/>
  <c r="H17" i="5"/>
  <c r="H18" i="5"/>
  <c r="H19" i="5"/>
  <c r="H20" i="5"/>
  <c r="H21" i="5"/>
  <c r="H22" i="5"/>
  <c r="H23" i="5"/>
  <c r="H24" i="5"/>
  <c r="H25" i="5"/>
  <c r="H35" i="3" l="1"/>
  <c r="H36" i="3"/>
  <c r="H37" i="3"/>
  <c r="H32" i="3"/>
  <c r="H33" i="3"/>
  <c r="H16" i="6" l="1"/>
  <c r="H64" i="7" l="1"/>
  <c r="H72" i="4"/>
  <c r="H67" i="4"/>
  <c r="H68" i="4"/>
  <c r="H69" i="4"/>
  <c r="H70" i="4"/>
  <c r="H71" i="4"/>
  <c r="H73" i="4"/>
  <c r="H74" i="4"/>
  <c r="H75" i="4"/>
  <c r="H76" i="4"/>
  <c r="H19" i="1"/>
  <c r="E74" i="7" l="1"/>
  <c r="H55" i="7"/>
  <c r="H56" i="7"/>
  <c r="H57" i="7"/>
  <c r="H58" i="7"/>
  <c r="H59" i="7"/>
  <c r="H60" i="7"/>
  <c r="H61" i="7"/>
  <c r="H62" i="7"/>
  <c r="H63" i="7"/>
  <c r="H65" i="7"/>
  <c r="H66" i="7"/>
  <c r="H67" i="7"/>
  <c r="H68" i="7"/>
  <c r="H69" i="7"/>
  <c r="H70" i="7"/>
  <c r="H71" i="7"/>
  <c r="H72" i="7"/>
  <c r="H73" i="7"/>
  <c r="H5" i="7"/>
  <c r="H6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4" i="7"/>
  <c r="H65" i="4" l="1"/>
  <c r="H66" i="4"/>
  <c r="H28" i="4"/>
  <c r="H35" i="4"/>
  <c r="H9" i="4"/>
  <c r="H10" i="4"/>
  <c r="H11" i="4"/>
  <c r="H5" i="4"/>
  <c r="H4" i="4"/>
  <c r="G51" i="8" l="1"/>
  <c r="E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0" i="8"/>
  <c r="H19" i="8"/>
  <c r="H18" i="8"/>
  <c r="H17" i="8"/>
  <c r="H16" i="8"/>
  <c r="H15" i="8"/>
  <c r="H14" i="8"/>
  <c r="H13" i="8"/>
  <c r="H11" i="8"/>
  <c r="H10" i="8"/>
  <c r="H9" i="8"/>
  <c r="H8" i="8"/>
  <c r="H7" i="8"/>
  <c r="H6" i="8"/>
  <c r="H5" i="8"/>
  <c r="H4" i="8"/>
  <c r="G74" i="7"/>
  <c r="H74" i="7" s="1"/>
  <c r="G73" i="6"/>
  <c r="E73" i="6"/>
  <c r="H73" i="6" s="1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5" i="6"/>
  <c r="H14" i="6"/>
  <c r="H13" i="6"/>
  <c r="H12" i="6"/>
  <c r="H11" i="6"/>
  <c r="H10" i="6"/>
  <c r="H9" i="6"/>
  <c r="H8" i="6"/>
  <c r="H7" i="6"/>
  <c r="H6" i="6"/>
  <c r="H5" i="6"/>
  <c r="H4" i="6"/>
  <c r="G73" i="5"/>
  <c r="E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11" i="5"/>
  <c r="H10" i="5"/>
  <c r="H9" i="5"/>
  <c r="H8" i="5"/>
  <c r="H7" i="5"/>
  <c r="H6" i="5"/>
  <c r="H5" i="5"/>
  <c r="H4" i="5"/>
  <c r="G81" i="4"/>
  <c r="E81" i="4"/>
  <c r="H64" i="4"/>
  <c r="H63" i="4"/>
  <c r="H62" i="4"/>
  <c r="H61" i="4"/>
  <c r="H6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8" i="4"/>
  <c r="H6" i="4"/>
  <c r="G61" i="3"/>
  <c r="E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4" i="3"/>
  <c r="H31" i="3"/>
  <c r="H30" i="3"/>
  <c r="H29" i="3"/>
  <c r="H28" i="3"/>
  <c r="H27" i="3"/>
  <c r="H26" i="3"/>
  <c r="H25" i="3"/>
  <c r="H24" i="3"/>
  <c r="H23" i="3"/>
  <c r="H22" i="3"/>
  <c r="H21" i="3"/>
  <c r="H19" i="3"/>
  <c r="H18" i="3"/>
  <c r="H17" i="3"/>
  <c r="H16" i="3"/>
  <c r="H15" i="3"/>
  <c r="H14" i="3"/>
  <c r="H13" i="3"/>
  <c r="H12" i="3"/>
  <c r="H11" i="3"/>
  <c r="H9" i="3"/>
  <c r="H8" i="3"/>
  <c r="H7" i="3"/>
  <c r="H6" i="3"/>
  <c r="H5" i="3"/>
  <c r="H4" i="3"/>
  <c r="G48" i="2"/>
  <c r="E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16" i="1"/>
  <c r="H17" i="1"/>
  <c r="H18" i="1"/>
  <c r="H21" i="1"/>
  <c r="H22" i="1"/>
  <c r="H23" i="1"/>
  <c r="H26" i="1"/>
  <c r="H27" i="1"/>
  <c r="H28" i="1"/>
  <c r="H29" i="1"/>
  <c r="H30" i="1"/>
  <c r="H31" i="1"/>
  <c r="H32" i="1"/>
  <c r="H33" i="1"/>
  <c r="H34" i="1"/>
  <c r="H10" i="1"/>
  <c r="H11" i="1"/>
  <c r="H12" i="1"/>
  <c r="H13" i="1"/>
  <c r="H14" i="1"/>
  <c r="H15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E75" i="1"/>
  <c r="G75" i="1"/>
  <c r="H4" i="1"/>
  <c r="H73" i="5" l="1"/>
  <c r="H48" i="2"/>
  <c r="H61" i="3"/>
  <c r="H81" i="4"/>
  <c r="H75" i="1"/>
  <c r="H51" i="8"/>
  <c r="H5" i="1"/>
  <c r="H6" i="1"/>
  <c r="H7" i="1"/>
  <c r="H8" i="1"/>
  <c r="H9" i="1"/>
</calcChain>
</file>

<file path=xl/sharedStrings.xml><?xml version="1.0" encoding="utf-8"?>
<sst xmlns="http://schemas.openxmlformats.org/spreadsheetml/2006/main" count="208" uniqueCount="108">
  <si>
    <t>INVOINCE DATE</t>
  </si>
  <si>
    <t>PAYMENT DATE</t>
  </si>
  <si>
    <t>AMOUNT PAID</t>
  </si>
  <si>
    <t xml:space="preserve">BALANCE </t>
  </si>
  <si>
    <t>ILEMELA DISTRICT</t>
  </si>
  <si>
    <t>TIN NUMBER: 121-201-011</t>
  </si>
  <si>
    <t>FACILITY</t>
  </si>
  <si>
    <t xml:space="preserve">INVOICE AMOUNT </t>
  </si>
  <si>
    <t>INVOICE NUMBER</t>
  </si>
  <si>
    <t>SENGEREMA D. HOSPITAL</t>
  </si>
  <si>
    <t>NYAMPANDE DISPENSARY</t>
  </si>
  <si>
    <t>NGOMA A. DISPENSARY</t>
  </si>
  <si>
    <t>KARUMO DISPENSARY</t>
  </si>
  <si>
    <t>ISHISHANG'OLO DISPENSARY</t>
  </si>
  <si>
    <t>BUSISI DISPENSARY</t>
  </si>
  <si>
    <t>NYANCHENCHE DISP; MEDICAL SUPPLIES</t>
  </si>
  <si>
    <t>NYANCHENCHE DISP; MEDICINES</t>
  </si>
  <si>
    <t>KAHUMULO DISPENSARY</t>
  </si>
  <si>
    <t>MAMI DISPENSARY</t>
  </si>
  <si>
    <t>KATUNGURU H. CENTER</t>
  </si>
  <si>
    <t>SOGOSO DISPENSARY</t>
  </si>
  <si>
    <t>KISHINDA DISPENSARY</t>
  </si>
  <si>
    <t>KAGUNGA H. CENTER</t>
  </si>
  <si>
    <t>SENGEREMA HEALTH CENTER: PHARMACY</t>
  </si>
  <si>
    <t>SENGEREMA HEALTH CENTER</t>
  </si>
  <si>
    <t>1//1/2026</t>
  </si>
  <si>
    <t>NYAMIZEZE</t>
  </si>
  <si>
    <t>BALATOGWA DISPENSARY</t>
  </si>
  <si>
    <t xml:space="preserve">KADASHI HEALTH CENTER </t>
  </si>
  <si>
    <t>15/1/2026</t>
  </si>
  <si>
    <t>KORAMIJE HEALTH CENTER</t>
  </si>
  <si>
    <t>23/1/2026</t>
  </si>
  <si>
    <t xml:space="preserve">MWAGALA DISPENSARY </t>
  </si>
  <si>
    <t xml:space="preserve">MISASI HEALTH CENTER </t>
  </si>
  <si>
    <t>22/12/2026</t>
  </si>
  <si>
    <t xml:space="preserve">BUSWELU DISPENSARY </t>
  </si>
  <si>
    <t xml:space="preserve">LUCHILI DISPENSARY </t>
  </si>
  <si>
    <t xml:space="preserve">NYAMWILOLEWA DISPENSARY </t>
  </si>
  <si>
    <t>19/1/2026</t>
  </si>
  <si>
    <t xml:space="preserve">KISESA HEATH CENTER </t>
  </si>
  <si>
    <t>21/1/2026</t>
  </si>
  <si>
    <t xml:space="preserve">KARUME HEALTH CENTER </t>
  </si>
  <si>
    <t>NYAMADOKE DISPENSARY</t>
  </si>
  <si>
    <t>31/1/2026</t>
  </si>
  <si>
    <t xml:space="preserve">BUZURUGA HEALTH CENTER </t>
  </si>
  <si>
    <t xml:space="preserve">IGOMA HEALTH CENTER </t>
  </si>
  <si>
    <t xml:space="preserve">IGOMA HEATH PHARMACY </t>
  </si>
  <si>
    <t>17/2/2026</t>
  </si>
  <si>
    <t>SANGABUYE HEATH CENTER</t>
  </si>
  <si>
    <t xml:space="preserve">NYEHUNGE HEATH CENTER </t>
  </si>
  <si>
    <t xml:space="preserve">MWANGIKA HEATH CENTER </t>
  </si>
  <si>
    <t xml:space="preserve">UKEREWE DISTRICT HOSPITAL </t>
  </si>
  <si>
    <t>13/2/2026</t>
  </si>
  <si>
    <t xml:space="preserve">MALYA HEALTH CENTER </t>
  </si>
  <si>
    <t>16/1/2026</t>
  </si>
  <si>
    <t xml:space="preserve">ILEMELA DISPENSARY </t>
  </si>
  <si>
    <t>21/2/2026</t>
  </si>
  <si>
    <t xml:space="preserve">SIMA HEATH CENTER </t>
  </si>
  <si>
    <t xml:space="preserve">BUGANDA DISPENSARY </t>
  </si>
  <si>
    <t>29/1/2026</t>
  </si>
  <si>
    <t xml:space="preserve">USAGARA HEAQLTH CENTER </t>
  </si>
  <si>
    <t xml:space="preserve">KIRUMBA DISPENSARY </t>
  </si>
  <si>
    <t xml:space="preserve">MAKONGORO HEALTH CENTER </t>
  </si>
  <si>
    <t>27/2/2026</t>
  </si>
  <si>
    <t xml:space="preserve">MKOLANI PUBLIC HEALTH CENTER </t>
  </si>
  <si>
    <t xml:space="preserve">PASIANSI DISPENSARY </t>
  </si>
  <si>
    <t xml:space="preserve">MWAMASHIMBA HEALTH CENTER </t>
  </si>
  <si>
    <t xml:space="preserve">SHADI DISPENSARY </t>
  </si>
  <si>
    <t xml:space="preserve">BUCHOSA DISTRICT HOSPITAL </t>
  </si>
  <si>
    <t xml:space="preserve">KAYENZE HEALTH CENTER </t>
  </si>
  <si>
    <t>SOLWE DISPENSARY</t>
  </si>
  <si>
    <t xml:space="preserve">BUDUSHI HEALTH CENTER </t>
  </si>
  <si>
    <t>MBARIKA HEATH CENTER</t>
  </si>
  <si>
    <t xml:space="preserve">MIHAMA DISPENSARY </t>
  </si>
  <si>
    <t xml:space="preserve">ILEMELA DISTRICT HOSPITAL </t>
  </si>
  <si>
    <t>BUCHOSA DISTRICT</t>
  </si>
  <si>
    <t>SEGEREMA DISTRICT</t>
  </si>
  <si>
    <t>UKEREWE DISTRICT</t>
  </si>
  <si>
    <t>KWIMBA DISTRICT</t>
  </si>
  <si>
    <t>MAGU DISTRICT</t>
  </si>
  <si>
    <t>MISUNGWI DISTRICT</t>
  </si>
  <si>
    <t>19/2/2026</t>
  </si>
  <si>
    <t>20/2/2026</t>
  </si>
  <si>
    <t>NGUGE  DISPENSARY</t>
  </si>
  <si>
    <t xml:space="preserve">TIN NUMBER: </t>
  </si>
  <si>
    <t>S/N</t>
  </si>
  <si>
    <t>NYMAGANA DISTRICT FINANCIAL STATEMENT</t>
  </si>
  <si>
    <t>TIN NO:</t>
  </si>
  <si>
    <t xml:space="preserve">BUHONGWA DISPENSARY </t>
  </si>
  <si>
    <t>IGOGO DISPENSARY</t>
  </si>
  <si>
    <t>26/11/2025</t>
  </si>
  <si>
    <t>20/12/2025</t>
  </si>
  <si>
    <t>NYEGEZI DISPENSARY</t>
  </si>
  <si>
    <t xml:space="preserve">NYAMAGANA DISTRICT HOSPITAL </t>
  </si>
  <si>
    <t>21/11/2025</t>
  </si>
  <si>
    <t xml:space="preserve">PHARMACY </t>
  </si>
  <si>
    <t>28/2/2026</t>
  </si>
  <si>
    <t xml:space="preserve">SIZU DISPENSARY </t>
  </si>
  <si>
    <t xml:space="preserve">MAMI DISPENSARY </t>
  </si>
  <si>
    <t xml:space="preserve">LUGEYE HEALTH CENTER </t>
  </si>
  <si>
    <t>MAGU DISTRICT HOSPITAL</t>
  </si>
  <si>
    <t xml:space="preserve">KAGUNGULI HEALTH CENTER </t>
  </si>
  <si>
    <t>TIN NUMBER:</t>
  </si>
  <si>
    <t>TIN NUMBER: 103 641 802</t>
  </si>
  <si>
    <t>NGUDU DISTRICT</t>
  </si>
  <si>
    <t>MISUNGWI DISTRICT HOSPITAL ITEJA</t>
  </si>
  <si>
    <t>MUHUNGWE DISTRICT</t>
  </si>
  <si>
    <t xml:space="preserve">IGOKELO DISPENSARY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</si>
</sst>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ell MT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Bell MT"/>
      <family val="1"/>
    </font>
    <font>
      <b/>
      <sz val="12"/>
      <color theme="1"/>
      <name val="Arial Narrow"/>
      <family val="2"/>
    </font>
    <font>
      <b/>
      <sz val="1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2" borderId="2" applyNumberFormat="0" applyAlignment="0" applyProtection="0"/>
    <xf numFmtId="0" fontId="5" fillId="3" borderId="3" applyNumberFormat="0" applyAlignment="0" applyProtection="0"/>
    <xf numFmtId="0" fontId="7" fillId="4" borderId="0" applyNumberFormat="0" applyBorder="0" applyAlignment="0" applyProtection="0"/>
    <xf numFmtId="0" fontId="1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Font="1"/>
    <xf numFmtId="0" fontId="6" fillId="3" borderId="1" xfId="3" applyFont="1" applyBorder="1"/>
    <xf numFmtId="0" fontId="6" fillId="3" borderId="1" xfId="3" applyFont="1" applyBorder="1" applyAlignment="1">
      <alignment horizontal="center"/>
    </xf>
    <xf numFmtId="164" fontId="6" fillId="3" borderId="1" xfId="3" applyNumberFormat="1" applyFont="1" applyBorder="1"/>
    <xf numFmtId="14" fontId="6" fillId="3" borderId="1" xfId="3" applyNumberFormat="1" applyFont="1" applyBorder="1" applyAlignment="1">
      <alignment horizontal="center"/>
    </xf>
    <xf numFmtId="0" fontId="1" fillId="4" borderId="1" xfId="4" applyFont="1" applyBorder="1" applyAlignment="1">
      <alignment horizontal="center"/>
    </xf>
    <xf numFmtId="14" fontId="1" fillId="4" borderId="1" xfId="4" applyNumberFormat="1" applyFont="1" applyBorder="1" applyAlignment="1">
      <alignment horizontal="center"/>
    </xf>
    <xf numFmtId="164" fontId="1" fillId="4" borderId="1" xfId="4" applyNumberFormat="1" applyFont="1" applyBorder="1"/>
    <xf numFmtId="0" fontId="1" fillId="5" borderId="1" xfId="5" applyBorder="1" applyAlignment="1">
      <alignment horizontal="center"/>
    </xf>
    <xf numFmtId="14" fontId="1" fillId="5" borderId="1" xfId="5" applyNumberFormat="1" applyBorder="1" applyAlignment="1">
      <alignment horizontal="center"/>
    </xf>
    <xf numFmtId="164" fontId="1" fillId="5" borderId="1" xfId="5" applyNumberFormat="1" applyBorder="1"/>
    <xf numFmtId="0" fontId="1" fillId="6" borderId="1" xfId="6" applyFont="1" applyBorder="1"/>
    <xf numFmtId="0" fontId="1" fillId="6" borderId="1" xfId="6" applyFont="1" applyBorder="1" applyAlignment="1">
      <alignment horizontal="center"/>
    </xf>
    <xf numFmtId="164" fontId="1" fillId="6" borderId="1" xfId="6" applyNumberFormat="1" applyFont="1" applyBorder="1"/>
    <xf numFmtId="14" fontId="1" fillId="6" borderId="1" xfId="6" applyNumberFormat="1" applyFont="1" applyBorder="1" applyAlignment="1">
      <alignment horizontal="center"/>
    </xf>
    <xf numFmtId="0" fontId="6" fillId="4" borderId="1" xfId="4" applyFont="1" applyBorder="1"/>
    <xf numFmtId="0" fontId="6" fillId="5" borderId="1" xfId="5" applyFont="1" applyBorder="1"/>
    <xf numFmtId="0" fontId="6" fillId="4" borderId="1" xfId="4" applyFont="1" applyBorder="1" applyAlignment="1">
      <alignment horizontal="left" wrapText="1"/>
    </xf>
    <xf numFmtId="0" fontId="6" fillId="5" borderId="1" xfId="5" applyFont="1" applyBorder="1" applyAlignment="1">
      <alignment horizontal="left" wrapText="1"/>
    </xf>
    <xf numFmtId="0" fontId="1" fillId="4" borderId="1" xfId="4" applyFont="1" applyBorder="1" applyAlignment="1">
      <alignment horizontal="center" wrapText="1"/>
    </xf>
    <xf numFmtId="14" fontId="1" fillId="4" borderId="1" xfId="4" applyNumberFormat="1" applyFont="1" applyBorder="1" applyAlignment="1">
      <alignment horizontal="center" wrapText="1"/>
    </xf>
    <xf numFmtId="164" fontId="1" fillId="4" borderId="1" xfId="4" applyNumberFormat="1" applyFont="1" applyBorder="1" applyAlignment="1">
      <alignment horizontal="center" wrapText="1"/>
    </xf>
    <xf numFmtId="0" fontId="1" fillId="5" borderId="1" xfId="5" applyBorder="1" applyAlignment="1">
      <alignment horizontal="center" wrapText="1"/>
    </xf>
    <xf numFmtId="14" fontId="1" fillId="5" borderId="1" xfId="5" applyNumberFormat="1" applyBorder="1" applyAlignment="1">
      <alignment horizontal="center" wrapText="1"/>
    </xf>
    <xf numFmtId="164" fontId="1" fillId="5" borderId="1" xfId="5" applyNumberFormat="1" applyBorder="1" applyAlignment="1">
      <alignment horizontal="center" wrapText="1"/>
    </xf>
    <xf numFmtId="0" fontId="9" fillId="3" borderId="1" xfId="3" applyFont="1" applyBorder="1"/>
    <xf numFmtId="0" fontId="9" fillId="3" borderId="1" xfId="3" applyFont="1" applyBorder="1" applyAlignment="1">
      <alignment horizontal="center"/>
    </xf>
    <xf numFmtId="164" fontId="9" fillId="3" borderId="1" xfId="3" applyNumberFormat="1" applyFont="1" applyBorder="1"/>
    <xf numFmtId="14" fontId="9" fillId="3" borderId="1" xfId="3" applyNumberFormat="1" applyFont="1" applyBorder="1" applyAlignment="1">
      <alignment horizontal="center"/>
    </xf>
    <xf numFmtId="14" fontId="0" fillId="5" borderId="1" xfId="5" applyNumberFormat="1" applyFont="1" applyBorder="1" applyAlignment="1">
      <alignment horizontal="center" wrapText="1"/>
    </xf>
    <xf numFmtId="0" fontId="10" fillId="4" borderId="1" xfId="4" applyFont="1" applyBorder="1" applyAlignment="1">
      <alignment horizontal="center" wrapText="1"/>
    </xf>
    <xf numFmtId="14" fontId="10" fillId="4" borderId="1" xfId="4" applyNumberFormat="1" applyFont="1" applyBorder="1" applyAlignment="1">
      <alignment horizontal="center" wrapText="1"/>
    </xf>
    <xf numFmtId="164" fontId="10" fillId="4" borderId="1" xfId="4" applyNumberFormat="1" applyFont="1" applyBorder="1" applyAlignment="1">
      <alignment horizontal="center" wrapText="1"/>
    </xf>
    <xf numFmtId="14" fontId="10" fillId="4" borderId="1" xfId="4" applyNumberFormat="1" applyFont="1" applyBorder="1" applyAlignment="1">
      <alignment horizontal="center"/>
    </xf>
    <xf numFmtId="164" fontId="10" fillId="4" borderId="1" xfId="4" applyNumberFormat="1" applyFont="1" applyBorder="1"/>
    <xf numFmtId="0" fontId="10" fillId="4" borderId="1" xfId="4" applyFont="1" applyBorder="1" applyAlignment="1">
      <alignment horizontal="center"/>
    </xf>
    <xf numFmtId="0" fontId="9" fillId="4" borderId="1" xfId="4" applyFont="1" applyBorder="1" applyAlignment="1">
      <alignment horizontal="left" wrapText="1"/>
    </xf>
    <xf numFmtId="0" fontId="9" fillId="4" borderId="1" xfId="4" applyFont="1" applyBorder="1"/>
    <xf numFmtId="14" fontId="1" fillId="5" borderId="0" xfId="5" applyNumberFormat="1" applyAlignment="1">
      <alignment horizontal="center"/>
    </xf>
    <xf numFmtId="0" fontId="1" fillId="5" borderId="1" xfId="5" applyBorder="1"/>
    <xf numFmtId="0" fontId="0" fillId="0" borderId="1" xfId="0" applyBorder="1"/>
    <xf numFmtId="14" fontId="0" fillId="4" borderId="1" xfId="4" applyNumberFormat="1" applyFont="1" applyBorder="1" applyAlignment="1">
      <alignment horizontal="center"/>
    </xf>
    <xf numFmtId="14" fontId="0" fillId="5" borderId="1" xfId="5" applyNumberFormat="1" applyFont="1" applyBorder="1" applyAlignment="1">
      <alignment horizontal="center"/>
    </xf>
    <xf numFmtId="0" fontId="0" fillId="4" borderId="1" xfId="4" applyFont="1" applyBorder="1" applyAlignment="1">
      <alignment horizontal="center"/>
    </xf>
    <xf numFmtId="0" fontId="10" fillId="4" borderId="1" xfId="4" applyFont="1" applyBorder="1"/>
    <xf numFmtId="14" fontId="10" fillId="4" borderId="1" xfId="4" applyNumberFormat="1" applyFont="1" applyBorder="1"/>
    <xf numFmtId="0" fontId="0" fillId="5" borderId="1" xfId="5" applyFont="1" applyBorder="1" applyAlignment="1">
      <alignment horizontal="center"/>
    </xf>
    <xf numFmtId="0" fontId="9" fillId="7" borderId="1" xfId="7" applyFont="1" applyBorder="1"/>
    <xf numFmtId="0" fontId="0" fillId="0" borderId="0" xfId="0" applyAlignment="1">
      <alignment horizontal="center"/>
    </xf>
    <xf numFmtId="0" fontId="9" fillId="7" borderId="1" xfId="7" applyFont="1" applyBorder="1" applyAlignment="1">
      <alignment horizontal="center"/>
    </xf>
    <xf numFmtId="0" fontId="9" fillId="7" borderId="1" xfId="7" applyFont="1" applyBorder="1" applyAlignment="1">
      <alignment horizontal="center" wrapText="1"/>
    </xf>
    <xf numFmtId="0" fontId="7" fillId="4" borderId="1" xfId="4" applyBorder="1"/>
    <xf numFmtId="0" fontId="10" fillId="0" borderId="0" xfId="0" applyFont="1"/>
    <xf numFmtId="0" fontId="9" fillId="3" borderId="1" xfId="3" applyFont="1" applyBorder="1" applyAlignment="1">
      <alignment horizontal="center" wrapText="1"/>
    </xf>
    <xf numFmtId="164" fontId="9" fillId="3" borderId="1" xfId="3" applyNumberFormat="1" applyFont="1" applyBorder="1" applyAlignment="1">
      <alignment horizontal="center" wrapText="1"/>
    </xf>
    <xf numFmtId="14" fontId="9" fillId="3" borderId="1" xfId="3" applyNumberFormat="1" applyFont="1" applyBorder="1" applyAlignment="1">
      <alignment horizontal="center" wrapText="1"/>
    </xf>
    <xf numFmtId="0" fontId="9" fillId="4" borderId="1" xfId="4" applyFont="1" applyBorder="1" applyAlignment="1">
      <alignment wrapText="1"/>
    </xf>
    <xf numFmtId="164" fontId="10" fillId="4" borderId="1" xfId="4" applyNumberFormat="1" applyFont="1" applyBorder="1" applyAlignment="1">
      <alignment wrapText="1"/>
    </xf>
    <xf numFmtId="0" fontId="9" fillId="5" borderId="1" xfId="5" applyFont="1" applyBorder="1" applyAlignment="1">
      <alignment wrapText="1"/>
    </xf>
    <xf numFmtId="0" fontId="10" fillId="5" borderId="1" xfId="5" applyFont="1" applyBorder="1" applyAlignment="1">
      <alignment horizontal="center" wrapText="1"/>
    </xf>
    <xf numFmtId="14" fontId="10" fillId="5" borderId="1" xfId="5" applyNumberFormat="1" applyFont="1" applyBorder="1" applyAlignment="1">
      <alignment horizontal="center" wrapText="1"/>
    </xf>
    <xf numFmtId="164" fontId="10" fillId="5" borderId="1" xfId="5" applyNumberFormat="1" applyFont="1" applyBorder="1" applyAlignment="1">
      <alignment wrapText="1"/>
    </xf>
    <xf numFmtId="0" fontId="10" fillId="6" borderId="1" xfId="6" applyFont="1" applyBorder="1" applyAlignment="1">
      <alignment wrapText="1"/>
    </xf>
    <xf numFmtId="0" fontId="10" fillId="6" borderId="1" xfId="6" applyFont="1" applyBorder="1" applyAlignment="1">
      <alignment horizontal="center" wrapText="1"/>
    </xf>
    <xf numFmtId="164" fontId="10" fillId="6" borderId="1" xfId="6" applyNumberFormat="1" applyFont="1" applyBorder="1" applyAlignment="1">
      <alignment wrapText="1"/>
    </xf>
    <xf numFmtId="14" fontId="10" fillId="6" borderId="1" xfId="6" applyNumberFormat="1" applyFont="1" applyBorder="1" applyAlignment="1">
      <alignment horizontal="center" wrapText="1"/>
    </xf>
    <xf numFmtId="164" fontId="10" fillId="4" borderId="1" xfId="1" applyFont="1" applyFill="1" applyBorder="1"/>
    <xf numFmtId="14" fontId="1" fillId="5" borderId="1" xfId="5" applyNumberFormat="1" applyBorder="1"/>
    <xf numFmtId="0" fontId="10" fillId="0" borderId="0" xfId="0" applyFont="1" applyAlignment="1">
      <alignment horizontal="center"/>
    </xf>
    <xf numFmtId="0" fontId="9" fillId="0" borderId="0" xfId="0" applyFont="1"/>
    <xf numFmtId="0" fontId="9" fillId="8" borderId="1" xfId="8" applyFont="1" applyBorder="1"/>
    <xf numFmtId="0" fontId="9" fillId="8" borderId="1" xfId="8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2" borderId="0" xfId="2" applyFont="1" applyBorder="1" applyAlignment="1">
      <alignment horizontal="center"/>
    </xf>
    <xf numFmtId="0" fontId="12" fillId="2" borderId="4" xfId="2" applyFont="1" applyBorder="1" applyAlignment="1">
      <alignment horizontal="center"/>
    </xf>
    <xf numFmtId="0" fontId="12" fillId="2" borderId="0" xfId="2" applyFont="1" applyBorder="1" applyAlignment="1">
      <alignment horizontal="center" vertical="center"/>
    </xf>
    <xf numFmtId="0" fontId="12" fillId="2" borderId="4" xfId="2" applyFont="1" applyBorder="1" applyAlignment="1">
      <alignment horizontal="center" vertical="center"/>
    </xf>
    <xf numFmtId="0" fontId="8" fillId="2" borderId="0" xfId="2" applyFont="1" applyBorder="1" applyAlignment="1">
      <alignment horizontal="center"/>
    </xf>
    <xf numFmtId="0" fontId="8" fillId="2" borderId="4" xfId="2" applyFont="1" applyBorder="1" applyAlignment="1">
      <alignment horizontal="center"/>
    </xf>
    <xf numFmtId="0" fontId="11" fillId="7" borderId="1" xfId="7" applyFont="1" applyBorder="1" applyAlignment="1">
      <alignment horizontal="center"/>
    </xf>
    <xf numFmtId="0" fontId="8" fillId="2" borderId="1" xfId="2" applyFont="1" applyBorder="1" applyAlignment="1">
      <alignment horizontal="center"/>
    </xf>
    <xf numFmtId="0" fontId="8" fillId="2" borderId="5" xfId="2" applyFont="1" applyBorder="1" applyAlignment="1">
      <alignment horizontal="center"/>
    </xf>
    <xf numFmtId="0" fontId="8" fillId="2" borderId="6" xfId="2" applyFont="1" applyBorder="1" applyAlignment="1">
      <alignment horizontal="center"/>
    </xf>
    <xf numFmtId="0" fontId="8" fillId="2" borderId="7" xfId="2" applyFont="1" applyBorder="1" applyAlignment="1">
      <alignment horizontal="center"/>
    </xf>
  </cellXfs>
  <cellStyles count="9">
    <cellStyle name="40% - Accent3" xfId="5" builtinId="39"/>
    <cellStyle name="60% - Accent1" xfId="4" builtinId="32"/>
    <cellStyle name="60% - Accent3" xfId="7" builtinId="40"/>
    <cellStyle name="Accent3" xfId="8" builtinId="37"/>
    <cellStyle name="Accent6" xfId="6" builtinId="49"/>
    <cellStyle name="Calculation" xfId="2" builtinId="22"/>
    <cellStyle name="Check Cell" xfId="3" builtinId="2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opLeftCell="A34" zoomScaleNormal="100" workbookViewId="0">
      <selection activeCell="L3" sqref="L3"/>
    </sheetView>
  </sheetViews>
  <sheetFormatPr defaultColWidth="9.109375" defaultRowHeight="13.8" x14ac:dyDescent="0.25"/>
  <cols>
    <col min="1" max="1" width="4.33203125" style="2" customWidth="1"/>
    <col min="2" max="2" width="34.44140625" style="2" customWidth="1"/>
    <col min="3" max="3" width="17.44140625" style="4" customWidth="1"/>
    <col min="4" max="4" width="15.6640625" style="4" customWidth="1"/>
    <col min="5" max="5" width="20" style="5" bestFit="1" customWidth="1"/>
    <col min="6" max="6" width="17.33203125" style="3" customWidth="1"/>
    <col min="7" max="7" width="19.5546875" style="2" customWidth="1"/>
    <col min="8" max="8" width="20" style="2" customWidth="1"/>
    <col min="9" max="9" width="1.44140625" style="2" customWidth="1"/>
    <col min="10" max="10" width="11.5546875" style="2" hidden="1" customWidth="1"/>
    <col min="11" max="11" width="11.44140625" style="2" customWidth="1"/>
    <col min="12" max="12" width="14" style="2" customWidth="1"/>
    <col min="13" max="13" width="15.33203125" style="2" customWidth="1"/>
    <col min="14" max="14" width="15.6640625" style="2" customWidth="1"/>
    <col min="15" max="16384" width="9.109375" style="2"/>
  </cols>
  <sheetData>
    <row r="1" spans="1:9" ht="18" x14ac:dyDescent="0.35">
      <c r="A1" s="79" t="s">
        <v>4</v>
      </c>
      <c r="B1" s="79"/>
      <c r="C1" s="79"/>
      <c r="D1" s="79"/>
      <c r="E1" s="79"/>
      <c r="F1" s="79"/>
      <c r="G1" s="79"/>
      <c r="H1" s="80"/>
      <c r="I1" s="1"/>
    </row>
    <row r="2" spans="1:9" ht="18" x14ac:dyDescent="0.35">
      <c r="A2" s="81" t="s">
        <v>5</v>
      </c>
      <c r="B2" s="81"/>
      <c r="C2" s="81"/>
      <c r="D2" s="81"/>
      <c r="E2" s="81"/>
      <c r="F2" s="81"/>
      <c r="G2" s="81"/>
      <c r="H2" s="82"/>
      <c r="I2" s="1"/>
    </row>
    <row r="3" spans="1:9" ht="35.25" customHeight="1" x14ac:dyDescent="0.3">
      <c r="A3" s="52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9" ht="14.4" x14ac:dyDescent="0.3">
      <c r="A4" s="52">
        <v>1</v>
      </c>
      <c r="B4" s="20" t="s">
        <v>37</v>
      </c>
      <c r="C4" s="10">
        <v>8443</v>
      </c>
      <c r="D4" s="46" t="s">
        <v>38</v>
      </c>
      <c r="E4" s="12">
        <v>1049450</v>
      </c>
      <c r="F4" s="11"/>
      <c r="G4" s="12"/>
      <c r="H4" s="12">
        <f>E4-G4</f>
        <v>1049450</v>
      </c>
    </row>
    <row r="5" spans="1:9" ht="14.4" x14ac:dyDescent="0.3">
      <c r="A5" s="52"/>
      <c r="B5" s="20"/>
      <c r="C5" s="10"/>
      <c r="D5" s="10"/>
      <c r="E5" s="12"/>
      <c r="F5" s="11"/>
      <c r="G5" s="12"/>
      <c r="H5" s="12">
        <f t="shared" ref="H5:H74" si="0">E5-G5</f>
        <v>0</v>
      </c>
    </row>
    <row r="6" spans="1:9" ht="14.4" x14ac:dyDescent="0.3">
      <c r="A6" s="52"/>
      <c r="B6" s="20"/>
      <c r="C6" s="10"/>
      <c r="D6" s="10"/>
      <c r="E6" s="12"/>
      <c r="F6" s="11"/>
      <c r="G6" s="12"/>
      <c r="H6" s="12">
        <f t="shared" si="0"/>
        <v>0</v>
      </c>
    </row>
    <row r="7" spans="1:9" ht="14.4" x14ac:dyDescent="0.3">
      <c r="A7" s="52">
        <v>2</v>
      </c>
      <c r="B7" s="21" t="s">
        <v>41</v>
      </c>
      <c r="C7" s="13">
        <v>8444</v>
      </c>
      <c r="D7" s="47" t="s">
        <v>38</v>
      </c>
      <c r="E7" s="15">
        <v>6355422</v>
      </c>
      <c r="F7" s="14"/>
      <c r="G7" s="15"/>
      <c r="H7" s="15">
        <f t="shared" si="0"/>
        <v>6355422</v>
      </c>
    </row>
    <row r="8" spans="1:9" ht="14.4" x14ac:dyDescent="0.3">
      <c r="A8" s="52"/>
      <c r="B8" s="21"/>
      <c r="C8" s="13"/>
      <c r="D8" s="14"/>
      <c r="E8" s="15"/>
      <c r="F8" s="14"/>
      <c r="G8" s="15"/>
      <c r="H8" s="15">
        <f t="shared" si="0"/>
        <v>0</v>
      </c>
    </row>
    <row r="9" spans="1:9" ht="14.4" x14ac:dyDescent="0.3">
      <c r="A9" s="52"/>
      <c r="B9" s="21"/>
      <c r="C9" s="13"/>
      <c r="D9" s="13"/>
      <c r="E9" s="15"/>
      <c r="F9" s="14"/>
      <c r="G9" s="15"/>
      <c r="H9" s="15">
        <f t="shared" si="0"/>
        <v>0</v>
      </c>
    </row>
    <row r="10" spans="1:9" ht="14.4" x14ac:dyDescent="0.3">
      <c r="A10" s="52">
        <v>3</v>
      </c>
      <c r="B10" s="20" t="s">
        <v>42</v>
      </c>
      <c r="C10" s="10">
        <v>8499</v>
      </c>
      <c r="D10" s="46" t="s">
        <v>43</v>
      </c>
      <c r="E10" s="12">
        <v>612000</v>
      </c>
      <c r="F10" s="11"/>
      <c r="G10" s="12"/>
      <c r="H10" s="12">
        <f t="shared" si="0"/>
        <v>612000</v>
      </c>
    </row>
    <row r="11" spans="1:9" ht="14.4" x14ac:dyDescent="0.3">
      <c r="A11" s="52"/>
      <c r="B11" s="20"/>
      <c r="C11" s="10">
        <v>8498</v>
      </c>
      <c r="D11" s="48" t="s">
        <v>43</v>
      </c>
      <c r="E11" s="12">
        <v>229424</v>
      </c>
      <c r="F11" s="11"/>
      <c r="G11" s="12"/>
      <c r="H11" s="12">
        <f t="shared" si="0"/>
        <v>229424</v>
      </c>
    </row>
    <row r="12" spans="1:9" ht="14.4" x14ac:dyDescent="0.3">
      <c r="A12" s="52"/>
      <c r="B12" s="20"/>
      <c r="C12" s="10"/>
      <c r="D12" s="10"/>
      <c r="E12" s="12"/>
      <c r="F12" s="11"/>
      <c r="G12" s="12"/>
      <c r="H12" s="12">
        <f t="shared" si="0"/>
        <v>0</v>
      </c>
    </row>
    <row r="13" spans="1:9" ht="14.4" x14ac:dyDescent="0.3">
      <c r="A13" s="52">
        <v>4</v>
      </c>
      <c r="B13" s="21" t="s">
        <v>44</v>
      </c>
      <c r="C13" s="13">
        <v>8452</v>
      </c>
      <c r="D13" s="47" t="s">
        <v>38</v>
      </c>
      <c r="E13" s="15">
        <v>8989890.4000000004</v>
      </c>
      <c r="F13" s="14"/>
      <c r="G13" s="15"/>
      <c r="H13" s="15">
        <f t="shared" si="0"/>
        <v>8989890.4000000004</v>
      </c>
    </row>
    <row r="14" spans="1:9" ht="14.4" x14ac:dyDescent="0.3">
      <c r="A14" s="52"/>
      <c r="B14" s="21"/>
      <c r="C14" s="13">
        <v>8474</v>
      </c>
      <c r="D14" s="47" t="s">
        <v>43</v>
      </c>
      <c r="E14" s="15">
        <v>4444620.4000000004</v>
      </c>
      <c r="F14" s="14"/>
      <c r="G14" s="15"/>
      <c r="H14" s="15">
        <f t="shared" si="0"/>
        <v>4444620.4000000004</v>
      </c>
    </row>
    <row r="15" spans="1:9" ht="14.4" x14ac:dyDescent="0.3">
      <c r="A15" s="52"/>
      <c r="B15" s="21"/>
      <c r="C15" s="13"/>
      <c r="D15" s="13"/>
      <c r="E15" s="15"/>
      <c r="F15" s="14"/>
      <c r="G15" s="15"/>
      <c r="H15" s="15">
        <f t="shared" si="0"/>
        <v>0</v>
      </c>
    </row>
    <row r="16" spans="1:9" ht="14.4" x14ac:dyDescent="0.3">
      <c r="A16" s="52">
        <v>5</v>
      </c>
      <c r="B16" s="20" t="s">
        <v>48</v>
      </c>
      <c r="C16" s="10">
        <v>8608</v>
      </c>
      <c r="D16" s="11">
        <v>46176</v>
      </c>
      <c r="E16" s="12">
        <v>2126282</v>
      </c>
      <c r="F16" s="11"/>
      <c r="G16" s="12"/>
      <c r="H16" s="12">
        <f t="shared" si="0"/>
        <v>2126282</v>
      </c>
    </row>
    <row r="17" spans="1:8" ht="14.4" x14ac:dyDescent="0.3">
      <c r="A17" s="52"/>
      <c r="B17" s="20"/>
      <c r="C17" s="10">
        <v>8453</v>
      </c>
      <c r="D17" s="48" t="s">
        <v>38</v>
      </c>
      <c r="E17" s="12">
        <v>1000853</v>
      </c>
      <c r="F17" s="11"/>
      <c r="G17" s="12"/>
      <c r="H17" s="12">
        <f t="shared" si="0"/>
        <v>1000853</v>
      </c>
    </row>
    <row r="18" spans="1:8" ht="14.4" x14ac:dyDescent="0.3">
      <c r="A18" s="52"/>
      <c r="B18" s="20"/>
      <c r="C18" s="10">
        <v>8458</v>
      </c>
      <c r="D18" s="48" t="s">
        <v>38</v>
      </c>
      <c r="E18" s="12">
        <v>950000</v>
      </c>
      <c r="F18" s="11"/>
      <c r="G18" s="12"/>
      <c r="H18" s="12">
        <f t="shared" si="0"/>
        <v>950000</v>
      </c>
    </row>
    <row r="19" spans="1:8" ht="14.4" x14ac:dyDescent="0.3">
      <c r="A19" s="52"/>
      <c r="B19" s="20"/>
      <c r="C19" s="10">
        <v>8522</v>
      </c>
      <c r="D19" s="46">
        <v>46114</v>
      </c>
      <c r="E19" s="12">
        <v>2626500</v>
      </c>
      <c r="F19" s="11"/>
      <c r="G19" s="12"/>
      <c r="H19" s="12">
        <f t="shared" si="0"/>
        <v>2626500</v>
      </c>
    </row>
    <row r="20" spans="1:8" ht="14.4" x14ac:dyDescent="0.3">
      <c r="A20" s="52"/>
      <c r="B20" s="20"/>
      <c r="C20" s="10"/>
      <c r="D20" s="48"/>
      <c r="E20" s="12"/>
      <c r="F20" s="11"/>
      <c r="G20" s="12"/>
      <c r="H20" s="12"/>
    </row>
    <row r="21" spans="1:8" ht="14.4" x14ac:dyDescent="0.3">
      <c r="A21" s="52">
        <v>6</v>
      </c>
      <c r="B21" s="21" t="s">
        <v>55</v>
      </c>
      <c r="C21" s="13">
        <v>8450</v>
      </c>
      <c r="D21" s="47" t="s">
        <v>38</v>
      </c>
      <c r="E21" s="15">
        <v>935000</v>
      </c>
      <c r="F21" s="14"/>
      <c r="G21" s="15"/>
      <c r="H21" s="15">
        <f>E21-G21</f>
        <v>935000</v>
      </c>
    </row>
    <row r="22" spans="1:8" ht="14.4" x14ac:dyDescent="0.3">
      <c r="A22" s="52"/>
      <c r="B22" s="21"/>
      <c r="C22" s="13">
        <v>8451</v>
      </c>
      <c r="D22" s="47" t="s">
        <v>38</v>
      </c>
      <c r="E22" s="15">
        <v>176000</v>
      </c>
      <c r="F22" s="14"/>
      <c r="G22" s="15"/>
      <c r="H22" s="15">
        <f t="shared" ref="H22:H51" si="1">E22-G22</f>
        <v>176000</v>
      </c>
    </row>
    <row r="23" spans="1:8" ht="14.4" x14ac:dyDescent="0.3">
      <c r="A23" s="52"/>
      <c r="B23" s="21"/>
      <c r="C23" s="13">
        <v>8448</v>
      </c>
      <c r="D23" s="47" t="s">
        <v>38</v>
      </c>
      <c r="E23" s="15">
        <v>161139</v>
      </c>
      <c r="F23" s="14"/>
      <c r="G23" s="15"/>
      <c r="H23" s="15">
        <f t="shared" si="1"/>
        <v>161139</v>
      </c>
    </row>
    <row r="24" spans="1:8" ht="14.4" x14ac:dyDescent="0.3">
      <c r="A24" s="52"/>
      <c r="B24" s="21"/>
      <c r="C24" s="13"/>
      <c r="D24" s="47"/>
      <c r="E24" s="15"/>
      <c r="F24" s="14"/>
      <c r="G24" s="15"/>
      <c r="H24" s="15"/>
    </row>
    <row r="25" spans="1:8" ht="14.4" x14ac:dyDescent="0.3">
      <c r="A25" s="52"/>
      <c r="B25" s="21"/>
      <c r="C25" s="13"/>
      <c r="D25" s="47"/>
      <c r="E25" s="15"/>
      <c r="F25" s="14"/>
      <c r="G25" s="15"/>
      <c r="H25" s="15"/>
    </row>
    <row r="26" spans="1:8" ht="14.4" x14ac:dyDescent="0.3">
      <c r="A26" s="52">
        <v>7</v>
      </c>
      <c r="B26" s="20" t="s">
        <v>58</v>
      </c>
      <c r="C26" s="10">
        <v>8447</v>
      </c>
      <c r="D26" s="46" t="s">
        <v>38</v>
      </c>
      <c r="E26" s="12">
        <v>1099354.3500000001</v>
      </c>
      <c r="F26" s="11"/>
      <c r="G26" s="12"/>
      <c r="H26" s="12">
        <f t="shared" si="1"/>
        <v>1099354.3500000001</v>
      </c>
    </row>
    <row r="27" spans="1:8" ht="14.4" x14ac:dyDescent="0.3">
      <c r="A27" s="52"/>
      <c r="B27" s="20"/>
      <c r="C27" s="10"/>
      <c r="D27" s="11"/>
      <c r="E27" s="12"/>
      <c r="F27" s="11"/>
      <c r="G27" s="12"/>
      <c r="H27" s="12">
        <f t="shared" si="1"/>
        <v>0</v>
      </c>
    </row>
    <row r="28" spans="1:8" ht="14.4" x14ac:dyDescent="0.3">
      <c r="A28" s="52"/>
      <c r="B28" s="20"/>
      <c r="C28" s="10"/>
      <c r="D28" s="11"/>
      <c r="E28" s="12"/>
      <c r="F28" s="11"/>
      <c r="G28" s="12"/>
      <c r="H28" s="12">
        <f t="shared" si="1"/>
        <v>0</v>
      </c>
    </row>
    <row r="29" spans="1:8" ht="14.4" x14ac:dyDescent="0.3">
      <c r="A29" s="52">
        <v>8</v>
      </c>
      <c r="B29" s="21" t="s">
        <v>61</v>
      </c>
      <c r="C29" s="13">
        <v>8454</v>
      </c>
      <c r="D29" s="47" t="s">
        <v>38</v>
      </c>
      <c r="E29" s="15">
        <v>1134836</v>
      </c>
      <c r="F29" s="14"/>
      <c r="G29" s="15"/>
      <c r="H29" s="15">
        <f t="shared" si="1"/>
        <v>1134836</v>
      </c>
    </row>
    <row r="30" spans="1:8" ht="14.4" x14ac:dyDescent="0.3">
      <c r="A30" s="52"/>
      <c r="B30" s="21"/>
      <c r="C30" s="13"/>
      <c r="D30" s="14"/>
      <c r="E30" s="15"/>
      <c r="F30" s="14"/>
      <c r="G30" s="15"/>
      <c r="H30" s="15">
        <f t="shared" si="1"/>
        <v>0</v>
      </c>
    </row>
    <row r="31" spans="1:8" ht="14.4" x14ac:dyDescent="0.3">
      <c r="A31" s="52"/>
      <c r="B31" s="21"/>
      <c r="C31" s="13"/>
      <c r="D31" s="14"/>
      <c r="E31" s="15"/>
      <c r="F31" s="14"/>
      <c r="G31" s="15"/>
      <c r="H31" s="15">
        <f t="shared" si="1"/>
        <v>0</v>
      </c>
    </row>
    <row r="32" spans="1:8" ht="14.4" x14ac:dyDescent="0.3">
      <c r="A32" s="52">
        <v>9</v>
      </c>
      <c r="B32" s="20" t="s">
        <v>65</v>
      </c>
      <c r="C32" s="10">
        <v>8529</v>
      </c>
      <c r="D32" s="11">
        <v>46059</v>
      </c>
      <c r="E32" s="12">
        <v>696672</v>
      </c>
      <c r="F32" s="11"/>
      <c r="G32" s="12"/>
      <c r="H32" s="12">
        <f t="shared" si="1"/>
        <v>696672</v>
      </c>
    </row>
    <row r="33" spans="1:8" ht="14.4" x14ac:dyDescent="0.3">
      <c r="A33" s="52"/>
      <c r="B33" s="20"/>
      <c r="C33" s="10">
        <v>8530</v>
      </c>
      <c r="D33" s="11">
        <v>46175</v>
      </c>
      <c r="E33" s="12">
        <v>433400</v>
      </c>
      <c r="F33" s="11"/>
      <c r="G33" s="12"/>
      <c r="H33" s="12">
        <f t="shared" si="1"/>
        <v>433400</v>
      </c>
    </row>
    <row r="34" spans="1:8" ht="14.4" x14ac:dyDescent="0.3">
      <c r="A34" s="52"/>
      <c r="B34" s="20"/>
      <c r="C34" s="10"/>
      <c r="D34" s="11"/>
      <c r="E34" s="12"/>
      <c r="F34" s="11"/>
      <c r="G34" s="12"/>
      <c r="H34" s="12">
        <f t="shared" si="1"/>
        <v>0</v>
      </c>
    </row>
    <row r="35" spans="1:8" ht="14.4" x14ac:dyDescent="0.3">
      <c r="A35" s="52">
        <v>10</v>
      </c>
      <c r="B35" s="21" t="s">
        <v>69</v>
      </c>
      <c r="C35" s="13">
        <v>8445</v>
      </c>
      <c r="D35" s="47" t="s">
        <v>38</v>
      </c>
      <c r="E35" s="15">
        <v>106320</v>
      </c>
      <c r="F35" s="14"/>
      <c r="G35" s="15"/>
      <c r="H35" s="15">
        <f t="shared" si="1"/>
        <v>106320</v>
      </c>
    </row>
    <row r="36" spans="1:8" ht="14.4" x14ac:dyDescent="0.3">
      <c r="A36" s="52"/>
      <c r="B36" s="21"/>
      <c r="C36" s="13">
        <v>8446</v>
      </c>
      <c r="D36" s="47" t="s">
        <v>38</v>
      </c>
      <c r="E36" s="15">
        <v>384000</v>
      </c>
      <c r="F36" s="14"/>
      <c r="G36" s="15"/>
      <c r="H36" s="15">
        <f t="shared" si="1"/>
        <v>384000</v>
      </c>
    </row>
    <row r="37" spans="1:8" ht="14.4" x14ac:dyDescent="0.3">
      <c r="A37" s="52"/>
      <c r="B37" s="21"/>
      <c r="C37" s="13"/>
      <c r="D37" s="14"/>
      <c r="E37" s="15"/>
      <c r="F37" s="14"/>
      <c r="G37" s="15"/>
      <c r="H37" s="15">
        <f t="shared" si="1"/>
        <v>0</v>
      </c>
    </row>
    <row r="38" spans="1:8" ht="14.4" x14ac:dyDescent="0.3">
      <c r="A38" s="52">
        <v>11</v>
      </c>
      <c r="B38" s="20" t="s">
        <v>73</v>
      </c>
      <c r="C38" s="10">
        <v>8456</v>
      </c>
      <c r="D38" s="46" t="s">
        <v>38</v>
      </c>
      <c r="E38" s="12">
        <v>1353781.5</v>
      </c>
      <c r="F38" s="11"/>
      <c r="G38" s="12"/>
      <c r="H38" s="12">
        <f t="shared" si="1"/>
        <v>1353781.5</v>
      </c>
    </row>
    <row r="39" spans="1:8" ht="14.4" x14ac:dyDescent="0.3">
      <c r="A39" s="52"/>
      <c r="B39" s="20"/>
      <c r="C39" s="10">
        <v>8457</v>
      </c>
      <c r="D39" s="46" t="s">
        <v>38</v>
      </c>
      <c r="E39" s="12">
        <v>28380</v>
      </c>
      <c r="F39" s="11"/>
      <c r="G39" s="12"/>
      <c r="H39" s="12">
        <f t="shared" si="1"/>
        <v>28380</v>
      </c>
    </row>
    <row r="40" spans="1:8" ht="14.4" x14ac:dyDescent="0.3">
      <c r="A40" s="52"/>
      <c r="B40" s="20"/>
      <c r="C40" s="10"/>
      <c r="D40" s="11"/>
      <c r="E40" s="12"/>
      <c r="F40" s="11"/>
      <c r="G40" s="12"/>
      <c r="H40" s="12">
        <f t="shared" si="1"/>
        <v>0</v>
      </c>
    </row>
    <row r="41" spans="1:8" ht="14.4" x14ac:dyDescent="0.3">
      <c r="A41" s="52">
        <v>12</v>
      </c>
      <c r="B41" s="21" t="s">
        <v>74</v>
      </c>
      <c r="C41" s="13">
        <v>8500</v>
      </c>
      <c r="D41" s="47" t="s">
        <v>43</v>
      </c>
      <c r="E41" s="15">
        <v>7838996</v>
      </c>
      <c r="F41" s="14"/>
      <c r="G41" s="15"/>
      <c r="H41" s="15">
        <f t="shared" si="1"/>
        <v>7838996</v>
      </c>
    </row>
    <row r="42" spans="1:8" ht="14.4" x14ac:dyDescent="0.3">
      <c r="A42" s="52"/>
      <c r="B42" s="21"/>
      <c r="C42" s="13"/>
      <c r="D42" s="14"/>
      <c r="E42" s="15"/>
      <c r="F42" s="14"/>
      <c r="G42" s="15"/>
      <c r="H42" s="15">
        <f t="shared" si="1"/>
        <v>0</v>
      </c>
    </row>
    <row r="43" spans="1:8" ht="14.4" x14ac:dyDescent="0.3">
      <c r="A43" s="52"/>
      <c r="B43" s="21"/>
      <c r="C43" s="13"/>
      <c r="D43" s="14"/>
      <c r="E43" s="15"/>
      <c r="F43" s="14"/>
      <c r="G43" s="15"/>
      <c r="H43" s="15">
        <f t="shared" si="1"/>
        <v>0</v>
      </c>
    </row>
    <row r="44" spans="1:8" ht="14.4" x14ac:dyDescent="0.3">
      <c r="A44" s="52"/>
      <c r="B44" s="20"/>
      <c r="C44" s="10"/>
      <c r="D44" s="11"/>
      <c r="E44" s="12"/>
      <c r="F44" s="11"/>
      <c r="G44" s="12"/>
      <c r="H44" s="12">
        <f t="shared" si="1"/>
        <v>0</v>
      </c>
    </row>
    <row r="45" spans="1:8" ht="14.4" x14ac:dyDescent="0.3">
      <c r="A45" s="52"/>
      <c r="B45" s="20"/>
      <c r="C45" s="10"/>
      <c r="D45" s="11"/>
      <c r="E45" s="12"/>
      <c r="F45" s="11"/>
      <c r="G45" s="12"/>
      <c r="H45" s="12">
        <f t="shared" si="1"/>
        <v>0</v>
      </c>
    </row>
    <row r="46" spans="1:8" ht="14.4" x14ac:dyDescent="0.3">
      <c r="A46" s="52"/>
      <c r="B46" s="20"/>
      <c r="C46" s="10"/>
      <c r="D46" s="11"/>
      <c r="E46" s="12"/>
      <c r="F46" s="11"/>
      <c r="G46" s="12"/>
      <c r="H46" s="12">
        <f t="shared" si="1"/>
        <v>0</v>
      </c>
    </row>
    <row r="47" spans="1:8" ht="14.4" x14ac:dyDescent="0.3">
      <c r="A47" s="52"/>
      <c r="B47" s="21"/>
      <c r="C47" s="13"/>
      <c r="D47" s="14"/>
      <c r="E47" s="15"/>
      <c r="F47" s="14"/>
      <c r="G47" s="15"/>
      <c r="H47" s="15">
        <f t="shared" si="1"/>
        <v>0</v>
      </c>
    </row>
    <row r="48" spans="1:8" ht="14.4" x14ac:dyDescent="0.3">
      <c r="A48" s="52"/>
      <c r="B48" s="21"/>
      <c r="C48" s="13"/>
      <c r="D48" s="14"/>
      <c r="E48" s="15"/>
      <c r="F48" s="14"/>
      <c r="G48" s="15"/>
      <c r="H48" s="15">
        <f t="shared" si="1"/>
        <v>0</v>
      </c>
    </row>
    <row r="49" spans="1:8" ht="14.4" x14ac:dyDescent="0.3">
      <c r="A49" s="52"/>
      <c r="B49" s="21"/>
      <c r="C49" s="13"/>
      <c r="D49" s="14"/>
      <c r="E49" s="15"/>
      <c r="F49" s="14"/>
      <c r="G49" s="15"/>
      <c r="H49" s="15">
        <f t="shared" si="1"/>
        <v>0</v>
      </c>
    </row>
    <row r="50" spans="1:8" ht="14.4" x14ac:dyDescent="0.3">
      <c r="A50" s="52"/>
      <c r="B50" s="20"/>
      <c r="C50" s="10"/>
      <c r="D50" s="11"/>
      <c r="E50" s="12"/>
      <c r="F50" s="11"/>
      <c r="G50" s="12"/>
      <c r="H50" s="12">
        <f t="shared" si="1"/>
        <v>0</v>
      </c>
    </row>
    <row r="51" spans="1:8" ht="14.4" x14ac:dyDescent="0.3">
      <c r="A51" s="52"/>
      <c r="B51" s="20"/>
      <c r="C51" s="10"/>
      <c r="D51" s="11"/>
      <c r="E51" s="12"/>
      <c r="F51" s="11"/>
      <c r="G51" s="12"/>
      <c r="H51" s="12">
        <f t="shared" si="1"/>
        <v>0</v>
      </c>
    </row>
    <row r="52" spans="1:8" ht="14.4" x14ac:dyDescent="0.3">
      <c r="A52" s="52"/>
      <c r="B52" s="20"/>
      <c r="C52" s="10"/>
      <c r="D52" s="11"/>
      <c r="E52" s="12"/>
      <c r="F52" s="11"/>
      <c r="G52" s="12"/>
      <c r="H52" s="12">
        <f t="shared" ref="H52:H68" si="2">E52-G52</f>
        <v>0</v>
      </c>
    </row>
    <row r="53" spans="1:8" ht="14.4" x14ac:dyDescent="0.3">
      <c r="A53" s="52"/>
      <c r="B53" s="21"/>
      <c r="C53" s="13"/>
      <c r="D53" s="14"/>
      <c r="E53" s="15"/>
      <c r="F53" s="14"/>
      <c r="G53" s="15"/>
      <c r="H53" s="15">
        <f t="shared" si="2"/>
        <v>0</v>
      </c>
    </row>
    <row r="54" spans="1:8" ht="14.4" x14ac:dyDescent="0.3">
      <c r="A54" s="52"/>
      <c r="B54" s="21"/>
      <c r="C54" s="13"/>
      <c r="D54" s="14"/>
      <c r="E54" s="15"/>
      <c r="F54" s="14"/>
      <c r="G54" s="15"/>
      <c r="H54" s="15">
        <f t="shared" si="2"/>
        <v>0</v>
      </c>
    </row>
    <row r="55" spans="1:8" ht="14.4" x14ac:dyDescent="0.3">
      <c r="A55" s="52"/>
      <c r="B55" s="21"/>
      <c r="C55" s="13"/>
      <c r="D55" s="14"/>
      <c r="E55" s="15"/>
      <c r="F55" s="14"/>
      <c r="G55" s="15"/>
      <c r="H55" s="15">
        <f t="shared" si="2"/>
        <v>0</v>
      </c>
    </row>
    <row r="56" spans="1:8" ht="14.4" x14ac:dyDescent="0.3">
      <c r="A56" s="52"/>
      <c r="B56" s="20"/>
      <c r="C56" s="10"/>
      <c r="D56" s="11"/>
      <c r="E56" s="12"/>
      <c r="F56" s="11"/>
      <c r="G56" s="12"/>
      <c r="H56" s="12">
        <f t="shared" si="2"/>
        <v>0</v>
      </c>
    </row>
    <row r="57" spans="1:8" ht="14.4" x14ac:dyDescent="0.3">
      <c r="A57" s="52"/>
      <c r="B57" s="20"/>
      <c r="C57" s="10"/>
      <c r="D57" s="11"/>
      <c r="E57" s="12"/>
      <c r="F57" s="11"/>
      <c r="G57" s="12"/>
      <c r="H57" s="12">
        <f t="shared" si="2"/>
        <v>0</v>
      </c>
    </row>
    <row r="58" spans="1:8" ht="14.4" x14ac:dyDescent="0.3">
      <c r="A58" s="52"/>
      <c r="B58" s="20"/>
      <c r="C58" s="10"/>
      <c r="D58" s="11"/>
      <c r="E58" s="12"/>
      <c r="F58" s="11"/>
      <c r="G58" s="12"/>
      <c r="H58" s="12">
        <f t="shared" si="2"/>
        <v>0</v>
      </c>
    </row>
    <row r="59" spans="1:8" ht="14.4" x14ac:dyDescent="0.3">
      <c r="A59" s="52"/>
      <c r="B59" s="21"/>
      <c r="C59" s="13"/>
      <c r="D59" s="14"/>
      <c r="E59" s="15"/>
      <c r="F59" s="14"/>
      <c r="G59" s="15"/>
      <c r="H59" s="15">
        <f t="shared" si="2"/>
        <v>0</v>
      </c>
    </row>
    <row r="60" spans="1:8" ht="14.4" x14ac:dyDescent="0.3">
      <c r="A60" s="52"/>
      <c r="B60" s="21"/>
      <c r="C60" s="13"/>
      <c r="D60" s="14"/>
      <c r="E60" s="15"/>
      <c r="F60" s="14"/>
      <c r="G60" s="15"/>
      <c r="H60" s="15">
        <f t="shared" si="2"/>
        <v>0</v>
      </c>
    </row>
    <row r="61" spans="1:8" ht="14.4" x14ac:dyDescent="0.3">
      <c r="A61" s="52"/>
      <c r="B61" s="21"/>
      <c r="C61" s="13"/>
      <c r="D61" s="14"/>
      <c r="E61" s="15"/>
      <c r="F61" s="14"/>
      <c r="G61" s="15"/>
      <c r="H61" s="15">
        <f t="shared" si="2"/>
        <v>0</v>
      </c>
    </row>
    <row r="62" spans="1:8" ht="14.4" x14ac:dyDescent="0.3">
      <c r="A62" s="52"/>
      <c r="B62" s="20"/>
      <c r="C62" s="10"/>
      <c r="D62" s="11"/>
      <c r="E62" s="12"/>
      <c r="F62" s="11"/>
      <c r="G62" s="12"/>
      <c r="H62" s="12">
        <f t="shared" si="2"/>
        <v>0</v>
      </c>
    </row>
    <row r="63" spans="1:8" ht="14.4" x14ac:dyDescent="0.3">
      <c r="A63" s="52"/>
      <c r="B63" s="20"/>
      <c r="C63" s="10"/>
      <c r="D63" s="11"/>
      <c r="E63" s="12"/>
      <c r="F63" s="11"/>
      <c r="G63" s="12"/>
      <c r="H63" s="12">
        <f t="shared" si="2"/>
        <v>0</v>
      </c>
    </row>
    <row r="64" spans="1:8" ht="14.4" x14ac:dyDescent="0.3">
      <c r="A64" s="52"/>
      <c r="B64" s="20"/>
      <c r="C64" s="10"/>
      <c r="D64" s="11"/>
      <c r="E64" s="12"/>
      <c r="F64" s="11"/>
      <c r="G64" s="12"/>
      <c r="H64" s="12">
        <f t="shared" si="2"/>
        <v>0</v>
      </c>
    </row>
    <row r="65" spans="1:8" ht="14.4" x14ac:dyDescent="0.3">
      <c r="A65" s="52"/>
      <c r="B65" s="21"/>
      <c r="C65" s="13"/>
      <c r="D65" s="14"/>
      <c r="E65" s="15"/>
      <c r="F65" s="14"/>
      <c r="G65" s="15"/>
      <c r="H65" s="15">
        <f t="shared" si="2"/>
        <v>0</v>
      </c>
    </row>
    <row r="66" spans="1:8" ht="14.4" x14ac:dyDescent="0.3">
      <c r="A66" s="52"/>
      <c r="B66" s="21"/>
      <c r="C66" s="13"/>
      <c r="D66" s="14"/>
      <c r="E66" s="15"/>
      <c r="F66" s="14"/>
      <c r="G66" s="15"/>
      <c r="H66" s="15">
        <f t="shared" si="2"/>
        <v>0</v>
      </c>
    </row>
    <row r="67" spans="1:8" ht="14.4" x14ac:dyDescent="0.3">
      <c r="A67" s="52"/>
      <c r="B67" s="21"/>
      <c r="C67" s="13"/>
      <c r="D67" s="14"/>
      <c r="E67" s="15"/>
      <c r="F67" s="14"/>
      <c r="G67" s="15"/>
      <c r="H67" s="15">
        <f t="shared" si="2"/>
        <v>0</v>
      </c>
    </row>
    <row r="68" spans="1:8" ht="14.4" x14ac:dyDescent="0.3">
      <c r="A68" s="52"/>
      <c r="B68" s="20"/>
      <c r="C68" s="10"/>
      <c r="D68" s="11"/>
      <c r="E68" s="12"/>
      <c r="F68" s="11"/>
      <c r="G68" s="12"/>
      <c r="H68" s="12">
        <f t="shared" si="2"/>
        <v>0</v>
      </c>
    </row>
    <row r="69" spans="1:8" ht="14.4" x14ac:dyDescent="0.3">
      <c r="A69" s="52"/>
      <c r="B69" s="20"/>
      <c r="C69" s="10"/>
      <c r="D69" s="11"/>
      <c r="E69" s="12"/>
      <c r="F69" s="11"/>
      <c r="G69" s="12"/>
      <c r="H69" s="12">
        <f t="shared" si="0"/>
        <v>0</v>
      </c>
    </row>
    <row r="70" spans="1:8" ht="14.4" x14ac:dyDescent="0.3">
      <c r="A70" s="52"/>
      <c r="B70" s="20"/>
      <c r="C70" s="10"/>
      <c r="D70" s="10"/>
      <c r="E70" s="12"/>
      <c r="F70" s="11"/>
      <c r="G70" s="12"/>
      <c r="H70" s="12">
        <f t="shared" si="0"/>
        <v>0</v>
      </c>
    </row>
    <row r="71" spans="1:8" ht="14.4" x14ac:dyDescent="0.3">
      <c r="A71" s="52"/>
      <c r="B71" s="21"/>
      <c r="C71" s="13"/>
      <c r="D71" s="14"/>
      <c r="E71" s="15"/>
      <c r="F71" s="14"/>
      <c r="G71" s="15"/>
      <c r="H71" s="15">
        <f t="shared" si="0"/>
        <v>0</v>
      </c>
    </row>
    <row r="72" spans="1:8" ht="14.4" x14ac:dyDescent="0.3">
      <c r="A72" s="52"/>
      <c r="B72" s="21"/>
      <c r="C72" s="13"/>
      <c r="D72" s="13"/>
      <c r="E72" s="15"/>
      <c r="F72" s="14"/>
      <c r="G72" s="15"/>
      <c r="H72" s="15">
        <f t="shared" si="0"/>
        <v>0</v>
      </c>
    </row>
    <row r="73" spans="1:8" ht="14.4" x14ac:dyDescent="0.3">
      <c r="A73" s="52"/>
      <c r="B73" s="21"/>
      <c r="C73" s="13"/>
      <c r="D73" s="13"/>
      <c r="E73" s="15"/>
      <c r="F73" s="14"/>
      <c r="G73" s="15"/>
      <c r="H73" s="15">
        <f t="shared" si="0"/>
        <v>0</v>
      </c>
    </row>
    <row r="74" spans="1:8" ht="14.4" x14ac:dyDescent="0.3">
      <c r="A74" s="52"/>
      <c r="B74" s="21"/>
      <c r="C74" s="13"/>
      <c r="D74" s="13"/>
      <c r="E74" s="15"/>
      <c r="F74" s="14"/>
      <c r="G74" s="15"/>
      <c r="H74" s="15">
        <f t="shared" si="0"/>
        <v>0</v>
      </c>
    </row>
    <row r="75" spans="1:8" ht="14.4" x14ac:dyDescent="0.3">
      <c r="A75" s="52"/>
      <c r="B75" s="16"/>
      <c r="C75" s="17"/>
      <c r="D75" s="17"/>
      <c r="E75" s="18">
        <f>SUM(E4:E74)</f>
        <v>42732320.649999999</v>
      </c>
      <c r="F75" s="19"/>
      <c r="G75" s="18">
        <f>SUM(G4:G74)</f>
        <v>0</v>
      </c>
      <c r="H75" s="18">
        <f>E75-G75</f>
        <v>42732320.649999999</v>
      </c>
    </row>
    <row r="76" spans="1:8" ht="18" x14ac:dyDescent="0.35">
      <c r="B76" s="78"/>
      <c r="C76" s="78"/>
      <c r="D76" s="78"/>
      <c r="E76" s="78"/>
      <c r="F76" s="78"/>
      <c r="G76" s="78"/>
      <c r="H76" s="78"/>
    </row>
  </sheetData>
  <autoFilter ref="B3:H75" xr:uid="{00000000-0009-0000-0000-000000000000}"/>
  <mergeCells count="3">
    <mergeCell ref="B76:H76"/>
    <mergeCell ref="A1:H1"/>
    <mergeCell ref="A2:H2"/>
  </mergeCells>
  <pageMargins left="0.7" right="0.7" top="0.75" bottom="0.75" header="0.3" footer="0.3"/>
  <pageSetup scale="40" orientation="portrait" r:id="rId1"/>
  <headerFooter>
    <oddHeader>&amp;L&amp;"Times New Roman,Bold"&amp;14ROBBY ONE PHARMACY</oddHeader>
  </headerFooter>
  <colBreaks count="1" manualBreakCount="1">
    <brk id="14" max="7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B10" sqref="B10"/>
    </sheetView>
  </sheetViews>
  <sheetFormatPr defaultRowHeight="14.4" x14ac:dyDescent="0.3"/>
  <cols>
    <col min="1" max="1" width="4.5546875" style="53" customWidth="1"/>
    <col min="2" max="2" width="38.33203125" customWidth="1"/>
    <col min="3" max="3" width="13.5546875" customWidth="1"/>
    <col min="4" max="4" width="18.44140625" customWidth="1"/>
    <col min="5" max="5" width="18.33203125" customWidth="1"/>
    <col min="6" max="7" width="15.6640625" customWidth="1"/>
    <col min="8" max="8" width="21" customWidth="1"/>
  </cols>
  <sheetData>
    <row r="1" spans="1:8" ht="21" customHeight="1" x14ac:dyDescent="0.45">
      <c r="A1" s="83" t="s">
        <v>75</v>
      </c>
      <c r="B1" s="83"/>
      <c r="C1" s="83"/>
      <c r="D1" s="83"/>
      <c r="E1" s="83"/>
      <c r="F1" s="83"/>
      <c r="G1" s="83"/>
      <c r="H1" s="84"/>
    </row>
    <row r="2" spans="1:8" ht="21" customHeight="1" x14ac:dyDescent="0.45">
      <c r="A2" s="83" t="s">
        <v>84</v>
      </c>
      <c r="B2" s="83"/>
      <c r="C2" s="83"/>
      <c r="D2" s="83"/>
      <c r="E2" s="83"/>
      <c r="F2" s="83"/>
      <c r="G2" s="83"/>
      <c r="H2" s="84"/>
    </row>
    <row r="3" spans="1:8" x14ac:dyDescent="0.3">
      <c r="A3" s="54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8" x14ac:dyDescent="0.3">
      <c r="A4" s="54">
        <v>1</v>
      </c>
      <c r="B4" s="20" t="s">
        <v>35</v>
      </c>
      <c r="C4" s="10">
        <v>8494</v>
      </c>
      <c r="D4" s="11">
        <v>46055</v>
      </c>
      <c r="E4" s="12">
        <v>259600</v>
      </c>
      <c r="F4" s="11"/>
      <c r="G4" s="12"/>
      <c r="H4" s="12">
        <f>E4-G4</f>
        <v>259600</v>
      </c>
    </row>
    <row r="5" spans="1:8" x14ac:dyDescent="0.3">
      <c r="A5" s="54"/>
      <c r="B5" s="20"/>
      <c r="C5" s="10"/>
      <c r="D5" s="10"/>
      <c r="E5" s="12"/>
      <c r="F5" s="11"/>
      <c r="G5" s="12"/>
      <c r="H5" s="12">
        <f t="shared" ref="H5:H47" si="0">E5-G5</f>
        <v>0</v>
      </c>
    </row>
    <row r="6" spans="1:8" x14ac:dyDescent="0.3">
      <c r="A6" s="54"/>
      <c r="B6" s="20"/>
      <c r="C6" s="10"/>
      <c r="D6" s="10"/>
      <c r="E6" s="12"/>
      <c r="F6" s="11"/>
      <c r="G6" s="12"/>
      <c r="H6" s="12">
        <f t="shared" si="0"/>
        <v>0</v>
      </c>
    </row>
    <row r="7" spans="1:8" x14ac:dyDescent="0.3">
      <c r="A7" s="54">
        <v>2</v>
      </c>
      <c r="B7" s="21" t="s">
        <v>36</v>
      </c>
      <c r="C7" s="13">
        <v>8492</v>
      </c>
      <c r="D7" s="14">
        <v>46055</v>
      </c>
      <c r="E7" s="15">
        <v>447500</v>
      </c>
      <c r="F7" s="14"/>
      <c r="G7" s="15"/>
      <c r="H7" s="15">
        <f t="shared" si="0"/>
        <v>447500</v>
      </c>
    </row>
    <row r="8" spans="1:8" x14ac:dyDescent="0.3">
      <c r="A8" s="54"/>
      <c r="B8" s="21"/>
      <c r="C8" s="13"/>
      <c r="D8" s="14"/>
      <c r="E8" s="15"/>
      <c r="F8" s="14"/>
      <c r="G8" s="15"/>
      <c r="H8" s="15">
        <f t="shared" si="0"/>
        <v>0</v>
      </c>
    </row>
    <row r="9" spans="1:8" x14ac:dyDescent="0.3">
      <c r="A9" s="54"/>
      <c r="B9" s="21"/>
      <c r="C9" s="13"/>
      <c r="D9" s="13"/>
      <c r="E9" s="15"/>
      <c r="F9" s="14"/>
      <c r="G9" s="15"/>
      <c r="H9" s="15">
        <f t="shared" si="0"/>
        <v>0</v>
      </c>
    </row>
    <row r="10" spans="1:8" x14ac:dyDescent="0.3">
      <c r="A10" s="54">
        <v>3</v>
      </c>
      <c r="B10" s="20" t="s">
        <v>49</v>
      </c>
      <c r="C10" s="10">
        <v>8427</v>
      </c>
      <c r="D10" s="46" t="s">
        <v>29</v>
      </c>
      <c r="E10" s="12">
        <v>2156987.9</v>
      </c>
      <c r="F10" s="11"/>
      <c r="G10" s="12"/>
      <c r="H10" s="12">
        <f t="shared" si="0"/>
        <v>2156987.9</v>
      </c>
    </row>
    <row r="11" spans="1:8" x14ac:dyDescent="0.3">
      <c r="A11" s="54"/>
      <c r="B11" s="20"/>
      <c r="C11" s="10"/>
      <c r="D11" s="10"/>
      <c r="E11" s="12"/>
      <c r="F11" s="11"/>
      <c r="G11" s="12"/>
      <c r="H11" s="12">
        <f t="shared" si="0"/>
        <v>0</v>
      </c>
    </row>
    <row r="12" spans="1:8" x14ac:dyDescent="0.3">
      <c r="A12" s="54"/>
      <c r="B12" s="20"/>
      <c r="C12" s="10"/>
      <c r="D12" s="10"/>
      <c r="E12" s="12"/>
      <c r="F12" s="11"/>
      <c r="G12" s="12"/>
      <c r="H12" s="12">
        <f t="shared" si="0"/>
        <v>0</v>
      </c>
    </row>
    <row r="13" spans="1:8" x14ac:dyDescent="0.3">
      <c r="A13" s="54">
        <v>4</v>
      </c>
      <c r="B13" s="21" t="s">
        <v>50</v>
      </c>
      <c r="C13" s="13">
        <v>8493</v>
      </c>
      <c r="D13" s="14">
        <v>46055</v>
      </c>
      <c r="E13" s="15">
        <v>4355000</v>
      </c>
      <c r="F13" s="14"/>
      <c r="G13" s="15"/>
      <c r="H13" s="15">
        <f t="shared" si="0"/>
        <v>4355000</v>
      </c>
    </row>
    <row r="14" spans="1:8" x14ac:dyDescent="0.3">
      <c r="A14" s="54"/>
      <c r="B14" s="21"/>
      <c r="C14" s="13"/>
      <c r="D14" s="14"/>
      <c r="E14" s="15"/>
      <c r="F14" s="14"/>
      <c r="G14" s="15"/>
      <c r="H14" s="15">
        <f t="shared" si="0"/>
        <v>0</v>
      </c>
    </row>
    <row r="15" spans="1:8" x14ac:dyDescent="0.3">
      <c r="A15" s="54"/>
      <c r="B15" s="21"/>
      <c r="C15" s="13"/>
      <c r="D15" s="13"/>
      <c r="E15" s="15"/>
      <c r="F15" s="14"/>
      <c r="G15" s="15"/>
      <c r="H15" s="15">
        <f t="shared" si="0"/>
        <v>0</v>
      </c>
    </row>
    <row r="16" spans="1:8" x14ac:dyDescent="0.3">
      <c r="A16" s="54">
        <v>5</v>
      </c>
      <c r="B16" s="20" t="s">
        <v>68</v>
      </c>
      <c r="C16" s="10">
        <v>8537</v>
      </c>
      <c r="D16" s="11">
        <v>46267</v>
      </c>
      <c r="E16" s="12">
        <v>14251524</v>
      </c>
      <c r="F16" s="11"/>
      <c r="G16" s="12"/>
      <c r="H16" s="12">
        <f t="shared" si="0"/>
        <v>14251524</v>
      </c>
    </row>
    <row r="17" spans="1:8" x14ac:dyDescent="0.3">
      <c r="A17" s="54"/>
      <c r="B17" s="20"/>
      <c r="C17" s="10"/>
      <c r="D17" s="10"/>
      <c r="E17" s="12"/>
      <c r="F17" s="11"/>
      <c r="G17" s="12"/>
      <c r="H17" s="12">
        <f t="shared" si="0"/>
        <v>0</v>
      </c>
    </row>
    <row r="18" spans="1:8" x14ac:dyDescent="0.3">
      <c r="A18" s="54"/>
      <c r="B18" s="20"/>
      <c r="C18" s="10"/>
      <c r="D18" s="10"/>
      <c r="E18" s="12"/>
      <c r="F18" s="11"/>
      <c r="G18" s="12"/>
      <c r="H18" s="12">
        <f t="shared" si="0"/>
        <v>0</v>
      </c>
    </row>
    <row r="19" spans="1:8" x14ac:dyDescent="0.3">
      <c r="A19" s="54">
        <v>6</v>
      </c>
      <c r="B19" s="21"/>
      <c r="C19" s="13"/>
      <c r="D19" s="14"/>
      <c r="E19" s="15"/>
      <c r="F19" s="14"/>
      <c r="G19" s="15"/>
      <c r="H19" s="15">
        <f>E19-G19</f>
        <v>0</v>
      </c>
    </row>
    <row r="20" spans="1:8" x14ac:dyDescent="0.3">
      <c r="A20" s="54"/>
      <c r="B20" s="21"/>
      <c r="C20" s="13"/>
      <c r="D20" s="14"/>
      <c r="E20" s="15"/>
      <c r="F20" s="14"/>
      <c r="G20" s="15"/>
      <c r="H20" s="15">
        <f t="shared" ref="H20:H44" si="1">E20-G20</f>
        <v>0</v>
      </c>
    </row>
    <row r="21" spans="1:8" x14ac:dyDescent="0.3">
      <c r="A21" s="54"/>
      <c r="B21" s="21"/>
      <c r="C21" s="13"/>
      <c r="D21" s="14"/>
      <c r="E21" s="15"/>
      <c r="F21" s="14"/>
      <c r="G21" s="15"/>
      <c r="H21" s="15">
        <f t="shared" si="1"/>
        <v>0</v>
      </c>
    </row>
    <row r="22" spans="1:8" x14ac:dyDescent="0.3">
      <c r="A22" s="54">
        <v>7</v>
      </c>
      <c r="B22" s="20"/>
      <c r="C22" s="10"/>
      <c r="D22" s="11"/>
      <c r="E22" s="12"/>
      <c r="F22" s="11"/>
      <c r="G22" s="12"/>
      <c r="H22" s="12">
        <f t="shared" si="1"/>
        <v>0</v>
      </c>
    </row>
    <row r="23" spans="1:8" x14ac:dyDescent="0.3">
      <c r="A23" s="54"/>
      <c r="B23" s="20"/>
      <c r="C23" s="10"/>
      <c r="D23" s="11"/>
      <c r="E23" s="12"/>
      <c r="F23" s="11"/>
      <c r="G23" s="12"/>
      <c r="H23" s="12">
        <f t="shared" si="1"/>
        <v>0</v>
      </c>
    </row>
    <row r="24" spans="1:8" x14ac:dyDescent="0.3">
      <c r="A24" s="54"/>
      <c r="B24" s="20"/>
      <c r="C24" s="10"/>
      <c r="D24" s="11"/>
      <c r="E24" s="12"/>
      <c r="F24" s="11"/>
      <c r="G24" s="12"/>
      <c r="H24" s="12">
        <f t="shared" si="1"/>
        <v>0</v>
      </c>
    </row>
    <row r="25" spans="1:8" x14ac:dyDescent="0.3">
      <c r="A25" s="54">
        <v>8</v>
      </c>
      <c r="B25" s="21"/>
      <c r="C25" s="13"/>
      <c r="D25" s="14"/>
      <c r="E25" s="15"/>
      <c r="F25" s="14"/>
      <c r="G25" s="15"/>
      <c r="H25" s="15">
        <f t="shared" si="1"/>
        <v>0</v>
      </c>
    </row>
    <row r="26" spans="1:8" x14ac:dyDescent="0.3">
      <c r="A26" s="54"/>
      <c r="B26" s="21"/>
      <c r="C26" s="13"/>
      <c r="D26" s="14"/>
      <c r="E26" s="15"/>
      <c r="F26" s="14"/>
      <c r="G26" s="15"/>
      <c r="H26" s="15">
        <f t="shared" si="1"/>
        <v>0</v>
      </c>
    </row>
    <row r="27" spans="1:8" x14ac:dyDescent="0.3">
      <c r="A27" s="54"/>
      <c r="B27" s="21"/>
      <c r="C27" s="13"/>
      <c r="D27" s="14"/>
      <c r="E27" s="15"/>
      <c r="F27" s="14"/>
      <c r="G27" s="15"/>
      <c r="H27" s="15">
        <f t="shared" si="1"/>
        <v>0</v>
      </c>
    </row>
    <row r="28" spans="1:8" x14ac:dyDescent="0.3">
      <c r="A28" s="54">
        <v>9</v>
      </c>
      <c r="B28" s="20"/>
      <c r="C28" s="10"/>
      <c r="D28" s="11"/>
      <c r="E28" s="12"/>
      <c r="F28" s="11"/>
      <c r="G28" s="12"/>
      <c r="H28" s="12">
        <f t="shared" si="1"/>
        <v>0</v>
      </c>
    </row>
    <row r="29" spans="1:8" x14ac:dyDescent="0.3">
      <c r="A29" s="54"/>
      <c r="B29" s="20"/>
      <c r="C29" s="10"/>
      <c r="D29" s="11"/>
      <c r="E29" s="12"/>
      <c r="F29" s="11"/>
      <c r="G29" s="12"/>
      <c r="H29" s="12">
        <f t="shared" si="1"/>
        <v>0</v>
      </c>
    </row>
    <row r="30" spans="1:8" x14ac:dyDescent="0.3">
      <c r="A30" s="54"/>
      <c r="B30" s="20"/>
      <c r="C30" s="10"/>
      <c r="D30" s="11"/>
      <c r="E30" s="12"/>
      <c r="F30" s="11"/>
      <c r="G30" s="12"/>
      <c r="H30" s="12">
        <f t="shared" si="1"/>
        <v>0</v>
      </c>
    </row>
    <row r="31" spans="1:8" x14ac:dyDescent="0.3">
      <c r="A31" s="54">
        <v>10</v>
      </c>
      <c r="B31" s="21"/>
      <c r="C31" s="13"/>
      <c r="D31" s="14"/>
      <c r="E31" s="15"/>
      <c r="F31" s="14"/>
      <c r="G31" s="15"/>
      <c r="H31" s="15">
        <f t="shared" si="1"/>
        <v>0</v>
      </c>
    </row>
    <row r="32" spans="1:8" x14ac:dyDescent="0.3">
      <c r="A32" s="54"/>
      <c r="B32" s="21"/>
      <c r="C32" s="13"/>
      <c r="D32" s="14"/>
      <c r="E32" s="15"/>
      <c r="F32" s="14"/>
      <c r="G32" s="15"/>
      <c r="H32" s="15">
        <f t="shared" si="1"/>
        <v>0</v>
      </c>
    </row>
    <row r="33" spans="1:8" x14ac:dyDescent="0.3">
      <c r="A33" s="54"/>
      <c r="B33" s="21"/>
      <c r="C33" s="13"/>
      <c r="D33" s="14"/>
      <c r="E33" s="15"/>
      <c r="F33" s="14"/>
      <c r="G33" s="15"/>
      <c r="H33" s="15">
        <f t="shared" si="1"/>
        <v>0</v>
      </c>
    </row>
    <row r="34" spans="1:8" x14ac:dyDescent="0.3">
      <c r="A34" s="54">
        <v>11</v>
      </c>
      <c r="B34" s="20"/>
      <c r="C34" s="10"/>
      <c r="D34" s="11"/>
      <c r="E34" s="12"/>
      <c r="F34" s="11"/>
      <c r="G34" s="12"/>
      <c r="H34" s="12">
        <f t="shared" si="1"/>
        <v>0</v>
      </c>
    </row>
    <row r="35" spans="1:8" x14ac:dyDescent="0.3">
      <c r="A35" s="54"/>
      <c r="B35" s="20"/>
      <c r="C35" s="10"/>
      <c r="D35" s="11"/>
      <c r="E35" s="12"/>
      <c r="F35" s="11"/>
      <c r="G35" s="12"/>
      <c r="H35" s="12">
        <f t="shared" si="1"/>
        <v>0</v>
      </c>
    </row>
    <row r="36" spans="1:8" x14ac:dyDescent="0.3">
      <c r="A36" s="54"/>
      <c r="B36" s="20"/>
      <c r="C36" s="10"/>
      <c r="D36" s="11"/>
      <c r="E36" s="12"/>
      <c r="F36" s="11"/>
      <c r="G36" s="12"/>
      <c r="H36" s="12">
        <f t="shared" si="1"/>
        <v>0</v>
      </c>
    </row>
    <row r="37" spans="1:8" x14ac:dyDescent="0.3">
      <c r="A37" s="54">
        <v>12</v>
      </c>
      <c r="B37" s="21"/>
      <c r="C37" s="13"/>
      <c r="D37" s="14"/>
      <c r="E37" s="15"/>
      <c r="F37" s="14"/>
      <c r="G37" s="15"/>
      <c r="H37" s="15">
        <f t="shared" si="1"/>
        <v>0</v>
      </c>
    </row>
    <row r="38" spans="1:8" x14ac:dyDescent="0.3">
      <c r="A38" s="54"/>
      <c r="B38" s="21"/>
      <c r="C38" s="13"/>
      <c r="D38" s="14"/>
      <c r="E38" s="15"/>
      <c r="F38" s="14"/>
      <c r="G38" s="15"/>
      <c r="H38" s="15">
        <f t="shared" si="1"/>
        <v>0</v>
      </c>
    </row>
    <row r="39" spans="1:8" x14ac:dyDescent="0.3">
      <c r="A39" s="54"/>
      <c r="B39" s="21"/>
      <c r="C39" s="13"/>
      <c r="D39" s="14"/>
      <c r="E39" s="15"/>
      <c r="F39" s="14"/>
      <c r="G39" s="15"/>
      <c r="H39" s="15">
        <f t="shared" si="1"/>
        <v>0</v>
      </c>
    </row>
    <row r="40" spans="1:8" x14ac:dyDescent="0.3">
      <c r="A40" s="54">
        <v>13</v>
      </c>
      <c r="B40" s="20"/>
      <c r="C40" s="10"/>
      <c r="D40" s="11"/>
      <c r="E40" s="12"/>
      <c r="F40" s="11"/>
      <c r="G40" s="12"/>
      <c r="H40" s="12">
        <f t="shared" si="1"/>
        <v>0</v>
      </c>
    </row>
    <row r="41" spans="1:8" x14ac:dyDescent="0.3">
      <c r="A41" s="54"/>
      <c r="B41" s="20"/>
      <c r="C41" s="10"/>
      <c r="D41" s="11"/>
      <c r="E41" s="12"/>
      <c r="F41" s="11"/>
      <c r="G41" s="12"/>
      <c r="H41" s="12">
        <f t="shared" si="1"/>
        <v>0</v>
      </c>
    </row>
    <row r="42" spans="1:8" x14ac:dyDescent="0.3">
      <c r="A42" s="54"/>
      <c r="B42" s="20"/>
      <c r="C42" s="10"/>
      <c r="D42" s="11"/>
      <c r="E42" s="12"/>
      <c r="F42" s="11"/>
      <c r="G42" s="12"/>
      <c r="H42" s="12">
        <f t="shared" si="1"/>
        <v>0</v>
      </c>
    </row>
    <row r="43" spans="1:8" x14ac:dyDescent="0.3">
      <c r="A43" s="54">
        <v>14</v>
      </c>
      <c r="B43" s="21"/>
      <c r="C43" s="13"/>
      <c r="D43" s="14"/>
      <c r="E43" s="15"/>
      <c r="F43" s="14"/>
      <c r="G43" s="15"/>
      <c r="H43" s="15">
        <f t="shared" si="1"/>
        <v>0</v>
      </c>
    </row>
    <row r="44" spans="1:8" x14ac:dyDescent="0.3">
      <c r="A44" s="54"/>
      <c r="B44" s="21"/>
      <c r="C44" s="13"/>
      <c r="D44" s="14"/>
      <c r="E44" s="15"/>
      <c r="F44" s="14"/>
      <c r="G44" s="15"/>
      <c r="H44" s="15">
        <f t="shared" si="1"/>
        <v>0</v>
      </c>
    </row>
    <row r="45" spans="1:8" x14ac:dyDescent="0.3">
      <c r="A45" s="54"/>
      <c r="B45" s="21"/>
      <c r="C45" s="13"/>
      <c r="D45" s="13"/>
      <c r="E45" s="15"/>
      <c r="F45" s="14"/>
      <c r="G45" s="15"/>
      <c r="H45" s="15">
        <f t="shared" si="0"/>
        <v>0</v>
      </c>
    </row>
    <row r="46" spans="1:8" x14ac:dyDescent="0.3">
      <c r="A46" s="54"/>
      <c r="B46" s="21"/>
      <c r="C46" s="13"/>
      <c r="D46" s="13"/>
      <c r="E46" s="15"/>
      <c r="F46" s="14"/>
      <c r="G46" s="15"/>
      <c r="H46" s="15">
        <f t="shared" si="0"/>
        <v>0</v>
      </c>
    </row>
    <row r="47" spans="1:8" x14ac:dyDescent="0.3">
      <c r="A47" s="54"/>
      <c r="B47" s="21"/>
      <c r="C47" s="13"/>
      <c r="D47" s="13"/>
      <c r="E47" s="15"/>
      <c r="F47" s="14"/>
      <c r="G47" s="15"/>
      <c r="H47" s="15">
        <f t="shared" si="0"/>
        <v>0</v>
      </c>
    </row>
    <row r="48" spans="1:8" x14ac:dyDescent="0.3">
      <c r="A48" s="54"/>
      <c r="B48" s="16"/>
      <c r="C48" s="17"/>
      <c r="D48" s="17"/>
      <c r="E48" s="18">
        <f>SUM(E4:E47)</f>
        <v>21470611.899999999</v>
      </c>
      <c r="F48" s="19"/>
      <c r="G48" s="18">
        <f>SUM(G4:G47)</f>
        <v>0</v>
      </c>
      <c r="H48" s="18">
        <f>E48-G48</f>
        <v>21470611.899999999</v>
      </c>
    </row>
    <row r="49" spans="2:8" ht="18" x14ac:dyDescent="0.35">
      <c r="B49" s="78"/>
      <c r="C49" s="78"/>
      <c r="D49" s="78"/>
      <c r="E49" s="78"/>
      <c r="F49" s="78"/>
      <c r="G49" s="78"/>
      <c r="H49" s="78"/>
    </row>
  </sheetData>
  <autoFilter ref="A3:H48" xr:uid="{00000000-0009-0000-0000-000001000000}"/>
  <mergeCells count="3">
    <mergeCell ref="B49:H49"/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abSelected="1" topLeftCell="A37" zoomScaleNormal="100" workbookViewId="0">
      <selection activeCell="E9" sqref="E9"/>
    </sheetView>
  </sheetViews>
  <sheetFormatPr defaultColWidth="9.109375" defaultRowHeight="14.4" x14ac:dyDescent="0.3"/>
  <cols>
    <col min="1" max="1" width="4.109375" style="57" customWidth="1"/>
    <col min="2" max="2" width="36" style="57" customWidth="1"/>
    <col min="3" max="3" width="11.44140625" style="57" customWidth="1"/>
    <col min="4" max="4" width="17" style="57" customWidth="1"/>
    <col min="5" max="5" width="22" style="57" customWidth="1"/>
    <col min="6" max="6" width="13.5546875" style="57" customWidth="1"/>
    <col min="7" max="7" width="20.33203125" style="57" customWidth="1"/>
    <col min="8" max="8" width="23.44140625" style="57" customWidth="1"/>
    <col min="9" max="16384" width="9.109375" style="57"/>
  </cols>
  <sheetData>
    <row r="1" spans="1:8" x14ac:dyDescent="0.3">
      <c r="A1" s="77" t="s">
        <v>86</v>
      </c>
      <c r="B1" s="77"/>
      <c r="C1" s="77"/>
      <c r="D1" s="77"/>
      <c r="E1" s="77"/>
      <c r="F1" s="77"/>
      <c r="G1" s="77"/>
      <c r="H1" s="77"/>
    </row>
    <row r="2" spans="1:8" x14ac:dyDescent="0.3">
      <c r="A2" s="77" t="s">
        <v>87</v>
      </c>
      <c r="B2" s="77"/>
      <c r="C2" s="77"/>
      <c r="D2" s="77"/>
      <c r="E2" s="77"/>
      <c r="F2" s="77"/>
      <c r="G2" s="77"/>
      <c r="H2" s="77"/>
    </row>
    <row r="3" spans="1:8" ht="28.8" x14ac:dyDescent="0.3">
      <c r="A3" s="55" t="s">
        <v>85</v>
      </c>
      <c r="B3" s="58" t="s">
        <v>6</v>
      </c>
      <c r="C3" s="58" t="s">
        <v>8</v>
      </c>
      <c r="D3" s="58" t="s">
        <v>0</v>
      </c>
      <c r="E3" s="59" t="s">
        <v>7</v>
      </c>
      <c r="F3" s="60" t="s">
        <v>1</v>
      </c>
      <c r="G3" s="59" t="s">
        <v>2</v>
      </c>
      <c r="H3" s="59" t="s">
        <v>3</v>
      </c>
    </row>
    <row r="4" spans="1:8" x14ac:dyDescent="0.3">
      <c r="A4" s="55">
        <v>1</v>
      </c>
      <c r="B4" s="61" t="s">
        <v>45</v>
      </c>
      <c r="C4" s="35">
        <v>8604</v>
      </c>
      <c r="D4" s="36">
        <v>46145</v>
      </c>
      <c r="E4" s="62">
        <v>1040000</v>
      </c>
      <c r="F4" s="36"/>
      <c r="G4" s="62"/>
      <c r="H4" s="62">
        <f>E4-G4</f>
        <v>1040000</v>
      </c>
    </row>
    <row r="5" spans="1:8" x14ac:dyDescent="0.3">
      <c r="A5" s="55"/>
      <c r="B5" s="61"/>
      <c r="C5" s="35">
        <v>8475</v>
      </c>
      <c r="D5" s="36">
        <v>46114</v>
      </c>
      <c r="E5" s="62">
        <v>29397270</v>
      </c>
      <c r="F5" s="36"/>
      <c r="G5" s="62"/>
      <c r="H5" s="62">
        <f t="shared" ref="H5:H60" si="0">E5-G5</f>
        <v>29397270</v>
      </c>
    </row>
    <row r="6" spans="1:8" x14ac:dyDescent="0.3">
      <c r="A6" s="55"/>
      <c r="B6" s="61"/>
      <c r="C6" s="35"/>
      <c r="D6" s="35"/>
      <c r="E6" s="62"/>
      <c r="F6" s="36"/>
      <c r="G6" s="62"/>
      <c r="H6" s="62">
        <f t="shared" si="0"/>
        <v>0</v>
      </c>
    </row>
    <row r="7" spans="1:8" x14ac:dyDescent="0.3">
      <c r="A7" s="55">
        <v>2</v>
      </c>
      <c r="B7" s="63" t="s">
        <v>46</v>
      </c>
      <c r="C7" s="64">
        <v>8546</v>
      </c>
      <c r="D7" s="65" t="s">
        <v>47</v>
      </c>
      <c r="E7" s="66">
        <v>6141400</v>
      </c>
      <c r="F7" s="65"/>
      <c r="G7" s="66"/>
      <c r="H7" s="66">
        <f t="shared" si="0"/>
        <v>6141400</v>
      </c>
    </row>
    <row r="8" spans="1:8" x14ac:dyDescent="0.3">
      <c r="A8" s="55"/>
      <c r="B8" s="63"/>
      <c r="C8" s="64">
        <v>8616</v>
      </c>
      <c r="D8" s="65">
        <v>46098</v>
      </c>
      <c r="E8" s="66">
        <v>17111126</v>
      </c>
      <c r="F8" s="65"/>
      <c r="G8" s="66"/>
      <c r="H8" s="66">
        <f t="shared" si="0"/>
        <v>17111126</v>
      </c>
    </row>
    <row r="9" spans="1:8" x14ac:dyDescent="0.3">
      <c r="A9" s="55"/>
      <c r="B9" s="63"/>
      <c r="C9" s="64"/>
      <c r="D9" s="64"/>
      <c r="E9" s="66"/>
      <c r="F9" s="65"/>
      <c r="G9" s="66"/>
      <c r="H9" s="66">
        <f t="shared" si="0"/>
        <v>0</v>
      </c>
    </row>
    <row r="10" spans="1:8" x14ac:dyDescent="0.3">
      <c r="A10" s="55"/>
      <c r="B10" s="63"/>
      <c r="C10" s="64"/>
      <c r="D10" s="64"/>
      <c r="E10" s="66"/>
      <c r="F10" s="65"/>
      <c r="G10" s="66"/>
      <c r="H10" s="66"/>
    </row>
    <row r="11" spans="1:8" x14ac:dyDescent="0.3">
      <c r="A11" s="55">
        <v>3</v>
      </c>
      <c r="B11" s="61" t="s">
        <v>88</v>
      </c>
      <c r="C11" s="35">
        <v>8483</v>
      </c>
      <c r="D11" s="36">
        <v>46176</v>
      </c>
      <c r="E11" s="62">
        <v>954992</v>
      </c>
      <c r="F11" s="36"/>
      <c r="G11" s="62"/>
      <c r="H11" s="62">
        <f t="shared" si="0"/>
        <v>954992</v>
      </c>
    </row>
    <row r="12" spans="1:8" x14ac:dyDescent="0.3">
      <c r="A12" s="55"/>
      <c r="B12" s="61"/>
      <c r="C12" s="35">
        <v>8476</v>
      </c>
      <c r="D12" s="36">
        <v>46114</v>
      </c>
      <c r="E12" s="62">
        <v>1517500</v>
      </c>
      <c r="F12" s="36"/>
      <c r="G12" s="62"/>
      <c r="H12" s="62">
        <f t="shared" si="0"/>
        <v>1517500</v>
      </c>
    </row>
    <row r="13" spans="1:8" x14ac:dyDescent="0.3">
      <c r="A13" s="55"/>
      <c r="B13" s="61"/>
      <c r="C13" s="35"/>
      <c r="D13" s="35"/>
      <c r="E13" s="62"/>
      <c r="F13" s="36"/>
      <c r="G13" s="62"/>
      <c r="H13" s="62">
        <f t="shared" si="0"/>
        <v>0</v>
      </c>
    </row>
    <row r="14" spans="1:8" x14ac:dyDescent="0.3">
      <c r="A14" s="55">
        <v>4</v>
      </c>
      <c r="B14" s="63" t="s">
        <v>62</v>
      </c>
      <c r="C14" s="64">
        <v>8484</v>
      </c>
      <c r="D14" s="65">
        <v>46175</v>
      </c>
      <c r="E14" s="66">
        <v>4488230.28</v>
      </c>
      <c r="F14" s="65" t="s">
        <v>63</v>
      </c>
      <c r="G14" s="66">
        <v>4488230.28</v>
      </c>
      <c r="H14" s="66">
        <f t="shared" si="0"/>
        <v>0</v>
      </c>
    </row>
    <row r="15" spans="1:8" x14ac:dyDescent="0.3">
      <c r="A15" s="55"/>
      <c r="B15" s="63"/>
      <c r="C15" s="64"/>
      <c r="D15" s="65"/>
      <c r="E15" s="66"/>
      <c r="F15" s="65"/>
      <c r="G15" s="66"/>
      <c r="H15" s="66">
        <f t="shared" si="0"/>
        <v>0</v>
      </c>
    </row>
    <row r="16" spans="1:8" x14ac:dyDescent="0.3">
      <c r="A16" s="55"/>
      <c r="B16" s="63"/>
      <c r="C16" s="64"/>
      <c r="D16" s="64"/>
      <c r="E16" s="66"/>
      <c r="F16" s="65"/>
      <c r="G16" s="66"/>
      <c r="H16" s="66">
        <f t="shared" si="0"/>
        <v>0</v>
      </c>
    </row>
    <row r="17" spans="1:8" x14ac:dyDescent="0.3">
      <c r="A17" s="55">
        <v>5</v>
      </c>
      <c r="B17" s="61" t="s">
        <v>64</v>
      </c>
      <c r="C17" s="35">
        <v>8481</v>
      </c>
      <c r="D17" s="36">
        <v>46114</v>
      </c>
      <c r="E17" s="62">
        <v>843860</v>
      </c>
      <c r="F17" s="36"/>
      <c r="G17" s="62"/>
      <c r="H17" s="62">
        <f t="shared" si="0"/>
        <v>843860</v>
      </c>
    </row>
    <row r="18" spans="1:8" x14ac:dyDescent="0.3">
      <c r="A18" s="55"/>
      <c r="B18" s="61"/>
      <c r="C18" s="35">
        <v>8480</v>
      </c>
      <c r="D18" s="36">
        <v>46114</v>
      </c>
      <c r="E18" s="62">
        <v>3055000</v>
      </c>
      <c r="F18" s="36"/>
      <c r="G18" s="62"/>
      <c r="H18" s="62">
        <f t="shared" si="0"/>
        <v>3055000</v>
      </c>
    </row>
    <row r="19" spans="1:8" x14ac:dyDescent="0.3">
      <c r="A19" s="55"/>
      <c r="B19" s="61"/>
      <c r="C19" s="35"/>
      <c r="D19" s="35"/>
      <c r="E19" s="62"/>
      <c r="F19" s="36"/>
      <c r="G19" s="62"/>
      <c r="H19" s="62">
        <f t="shared" si="0"/>
        <v>0</v>
      </c>
    </row>
    <row r="20" spans="1:8" x14ac:dyDescent="0.3">
      <c r="A20" s="55"/>
      <c r="B20" s="61"/>
      <c r="C20" s="35"/>
      <c r="D20" s="35"/>
      <c r="E20" s="62"/>
      <c r="F20" s="36"/>
      <c r="G20" s="62"/>
      <c r="H20" s="62">
        <f t="shared" si="0"/>
        <v>0</v>
      </c>
    </row>
    <row r="21" spans="1:8" x14ac:dyDescent="0.3">
      <c r="A21" s="55">
        <v>6</v>
      </c>
      <c r="B21" s="63" t="s">
        <v>67</v>
      </c>
      <c r="C21" s="64">
        <v>8478</v>
      </c>
      <c r="D21" s="65">
        <v>46114</v>
      </c>
      <c r="E21" s="66">
        <v>2162500</v>
      </c>
      <c r="F21" s="65"/>
      <c r="G21" s="66"/>
      <c r="H21" s="66">
        <f>E21-G21</f>
        <v>2162500</v>
      </c>
    </row>
    <row r="22" spans="1:8" x14ac:dyDescent="0.3">
      <c r="A22" s="55"/>
      <c r="B22" s="63"/>
      <c r="C22" s="64">
        <v>8479</v>
      </c>
      <c r="D22" s="65">
        <v>46114</v>
      </c>
      <c r="E22" s="66">
        <v>488324</v>
      </c>
      <c r="F22" s="65"/>
      <c r="G22" s="66"/>
      <c r="H22" s="66">
        <f t="shared" ref="H22:H54" si="1">E22-G22</f>
        <v>488324</v>
      </c>
    </row>
    <row r="23" spans="1:8" x14ac:dyDescent="0.3">
      <c r="A23" s="55"/>
      <c r="B23" s="63"/>
      <c r="C23" s="64"/>
      <c r="D23" s="65"/>
      <c r="E23" s="66"/>
      <c r="F23" s="65"/>
      <c r="G23" s="66"/>
      <c r="H23" s="66">
        <f t="shared" si="1"/>
        <v>0</v>
      </c>
    </row>
    <row r="24" spans="1:8" x14ac:dyDescent="0.3">
      <c r="A24" s="55">
        <v>7</v>
      </c>
      <c r="B24" s="61" t="s">
        <v>89</v>
      </c>
      <c r="C24" s="35">
        <v>8118</v>
      </c>
      <c r="D24" s="36" t="s">
        <v>90</v>
      </c>
      <c r="E24" s="62">
        <v>497885</v>
      </c>
      <c r="F24" s="36" t="s">
        <v>91</v>
      </c>
      <c r="G24" s="62">
        <v>497885</v>
      </c>
      <c r="H24" s="62">
        <f t="shared" si="1"/>
        <v>0</v>
      </c>
    </row>
    <row r="25" spans="1:8" x14ac:dyDescent="0.3">
      <c r="A25" s="55"/>
      <c r="B25" s="61"/>
      <c r="C25" s="35"/>
      <c r="D25" s="36"/>
      <c r="E25" s="62"/>
      <c r="F25" s="36"/>
      <c r="G25" s="62"/>
      <c r="H25" s="62">
        <f t="shared" si="1"/>
        <v>0</v>
      </c>
    </row>
    <row r="26" spans="1:8" x14ac:dyDescent="0.3">
      <c r="A26" s="55"/>
      <c r="B26" s="61"/>
      <c r="C26" s="35"/>
      <c r="D26" s="36"/>
      <c r="E26" s="62"/>
      <c r="F26" s="36"/>
      <c r="G26" s="62"/>
      <c r="H26" s="62">
        <f t="shared" si="1"/>
        <v>0</v>
      </c>
    </row>
    <row r="27" spans="1:8" x14ac:dyDescent="0.3">
      <c r="A27" s="55">
        <v>8</v>
      </c>
      <c r="B27" s="63" t="s">
        <v>92</v>
      </c>
      <c r="C27" s="64">
        <v>8115</v>
      </c>
      <c r="D27" s="65" t="s">
        <v>90</v>
      </c>
      <c r="E27" s="66">
        <v>1332220</v>
      </c>
      <c r="F27" s="65"/>
      <c r="G27" s="66"/>
      <c r="H27" s="66">
        <f t="shared" si="1"/>
        <v>1332220</v>
      </c>
    </row>
    <row r="28" spans="1:8" x14ac:dyDescent="0.3">
      <c r="A28" s="55"/>
      <c r="B28" s="63"/>
      <c r="C28" s="64"/>
      <c r="D28" s="65"/>
      <c r="E28" s="66"/>
      <c r="F28" s="65"/>
      <c r="G28" s="66"/>
      <c r="H28" s="66">
        <f t="shared" si="1"/>
        <v>0</v>
      </c>
    </row>
    <row r="29" spans="1:8" x14ac:dyDescent="0.3">
      <c r="A29" s="55"/>
      <c r="B29" s="63"/>
      <c r="C29" s="64"/>
      <c r="D29" s="65"/>
      <c r="E29" s="66"/>
      <c r="F29" s="65"/>
      <c r="G29" s="66"/>
      <c r="H29" s="66">
        <f t="shared" si="1"/>
        <v>0</v>
      </c>
    </row>
    <row r="30" spans="1:8" x14ac:dyDescent="0.3">
      <c r="A30" s="55">
        <v>9</v>
      </c>
      <c r="B30" s="61" t="s">
        <v>93</v>
      </c>
      <c r="C30" s="35">
        <v>8064</v>
      </c>
      <c r="D30" s="36" t="s">
        <v>94</v>
      </c>
      <c r="E30" s="62">
        <v>16928102</v>
      </c>
      <c r="F30" s="36" t="s">
        <v>59</v>
      </c>
      <c r="G30" s="62">
        <v>16928102</v>
      </c>
      <c r="H30" s="62">
        <f t="shared" si="1"/>
        <v>0</v>
      </c>
    </row>
    <row r="31" spans="1:8" x14ac:dyDescent="0.3">
      <c r="A31" s="55"/>
      <c r="B31" s="61"/>
      <c r="C31" s="35">
        <v>8482</v>
      </c>
      <c r="D31" s="36" t="s">
        <v>31</v>
      </c>
      <c r="E31" s="62">
        <v>22778744</v>
      </c>
      <c r="F31" s="36"/>
      <c r="G31" s="62">
        <v>22778744</v>
      </c>
      <c r="H31" s="62">
        <f t="shared" si="1"/>
        <v>0</v>
      </c>
    </row>
    <row r="32" spans="1:8" x14ac:dyDescent="0.3">
      <c r="A32" s="55"/>
      <c r="B32" s="49"/>
      <c r="C32" s="49"/>
      <c r="D32" s="49"/>
      <c r="E32" s="56"/>
      <c r="F32" s="49"/>
      <c r="G32" s="49"/>
      <c r="H32" s="62">
        <f>E35-G32</f>
        <v>430500</v>
      </c>
    </row>
    <row r="33" spans="1:8" x14ac:dyDescent="0.3">
      <c r="A33" s="55"/>
      <c r="B33" s="49"/>
      <c r="C33" s="49"/>
      <c r="D33" s="49"/>
      <c r="E33" s="49"/>
      <c r="F33" s="49"/>
      <c r="G33" s="49"/>
      <c r="H33" s="62">
        <f t="shared" si="1"/>
        <v>0</v>
      </c>
    </row>
    <row r="34" spans="1:8" x14ac:dyDescent="0.3">
      <c r="A34" s="55"/>
      <c r="B34" s="61" t="s">
        <v>95</v>
      </c>
      <c r="C34" s="35">
        <v>8556</v>
      </c>
      <c r="D34" s="36" t="s">
        <v>47</v>
      </c>
      <c r="E34" s="62">
        <v>17233841</v>
      </c>
      <c r="F34" s="36"/>
      <c r="G34" s="62"/>
      <c r="H34" s="62">
        <f>E34-G34</f>
        <v>17233841</v>
      </c>
    </row>
    <row r="35" spans="1:8" x14ac:dyDescent="0.3">
      <c r="A35" s="55"/>
      <c r="B35" s="61"/>
      <c r="C35" s="35">
        <v>8590</v>
      </c>
      <c r="D35" s="36" t="s">
        <v>96</v>
      </c>
      <c r="E35" s="71">
        <v>430500</v>
      </c>
      <c r="F35" s="36"/>
      <c r="G35" s="62"/>
      <c r="H35" s="62">
        <f t="shared" ref="H35:H38" si="2">E35-G35</f>
        <v>430500</v>
      </c>
    </row>
    <row r="36" spans="1:8" x14ac:dyDescent="0.3">
      <c r="A36" s="55"/>
      <c r="B36" s="61"/>
      <c r="C36" s="35">
        <v>8613</v>
      </c>
      <c r="D36" s="36">
        <v>46206</v>
      </c>
      <c r="E36" s="71">
        <v>850000</v>
      </c>
      <c r="F36" s="36"/>
      <c r="G36" s="62"/>
      <c r="H36" s="62">
        <f t="shared" si="2"/>
        <v>850000</v>
      </c>
    </row>
    <row r="37" spans="1:8" x14ac:dyDescent="0.3">
      <c r="A37" s="55"/>
      <c r="B37" s="61"/>
      <c r="C37" s="35"/>
      <c r="D37" s="36"/>
      <c r="E37" s="71"/>
      <c r="F37" s="36"/>
      <c r="G37" s="62"/>
      <c r="H37" s="62">
        <f t="shared" si="2"/>
        <v>0</v>
      </c>
    </row>
    <row r="38" spans="1:8" x14ac:dyDescent="0.3">
      <c r="A38" s="55"/>
      <c r="B38" s="61"/>
      <c r="C38" s="35"/>
      <c r="D38" s="36"/>
      <c r="E38" s="71"/>
      <c r="F38" s="36"/>
      <c r="G38" s="62"/>
      <c r="H38" s="62">
        <f t="shared" si="2"/>
        <v>0</v>
      </c>
    </row>
    <row r="39" spans="1:8" x14ac:dyDescent="0.3">
      <c r="A39" s="55">
        <v>10</v>
      </c>
      <c r="B39" s="63"/>
      <c r="C39" s="64"/>
      <c r="D39" s="65"/>
      <c r="E39" s="66"/>
      <c r="F39" s="65"/>
      <c r="G39" s="66"/>
      <c r="H39" s="66">
        <f t="shared" si="1"/>
        <v>0</v>
      </c>
    </row>
    <row r="40" spans="1:8" x14ac:dyDescent="0.3">
      <c r="A40" s="55"/>
      <c r="B40" s="63"/>
      <c r="C40" s="64"/>
      <c r="D40" s="65"/>
      <c r="E40" s="66"/>
      <c r="F40" s="65"/>
      <c r="G40" s="66"/>
      <c r="H40" s="66">
        <f t="shared" si="1"/>
        <v>0</v>
      </c>
    </row>
    <row r="41" spans="1:8" x14ac:dyDescent="0.3">
      <c r="A41" s="55"/>
      <c r="B41" s="63"/>
      <c r="C41" s="64"/>
      <c r="D41" s="65"/>
      <c r="E41" s="66"/>
      <c r="F41" s="65"/>
      <c r="G41" s="66"/>
      <c r="H41" s="66">
        <f t="shared" si="1"/>
        <v>0</v>
      </c>
    </row>
    <row r="42" spans="1:8" x14ac:dyDescent="0.3">
      <c r="A42" s="55">
        <v>11</v>
      </c>
      <c r="B42" s="61"/>
      <c r="C42" s="35"/>
      <c r="D42" s="36"/>
      <c r="E42" s="62"/>
      <c r="F42" s="36"/>
      <c r="G42" s="62"/>
      <c r="H42" s="62">
        <f t="shared" si="1"/>
        <v>0</v>
      </c>
    </row>
    <row r="43" spans="1:8" x14ac:dyDescent="0.3">
      <c r="A43" s="55"/>
      <c r="B43" s="61"/>
      <c r="C43" s="35"/>
      <c r="D43" s="36"/>
      <c r="E43" s="62"/>
      <c r="F43" s="36"/>
      <c r="G43" s="62"/>
      <c r="H43" s="62">
        <f t="shared" si="1"/>
        <v>0</v>
      </c>
    </row>
    <row r="44" spans="1:8" x14ac:dyDescent="0.3">
      <c r="A44" s="55"/>
      <c r="B44" s="61"/>
      <c r="C44" s="35"/>
      <c r="D44" s="36"/>
      <c r="E44" s="62"/>
      <c r="F44" s="36"/>
      <c r="G44" s="62"/>
      <c r="H44" s="62">
        <f t="shared" si="1"/>
        <v>0</v>
      </c>
    </row>
    <row r="45" spans="1:8" x14ac:dyDescent="0.3">
      <c r="A45" s="55">
        <v>12</v>
      </c>
      <c r="B45" s="63"/>
      <c r="C45" s="64"/>
      <c r="D45" s="65"/>
      <c r="E45" s="66"/>
      <c r="F45" s="65"/>
      <c r="G45" s="66"/>
      <c r="H45" s="66">
        <f t="shared" si="1"/>
        <v>0</v>
      </c>
    </row>
    <row r="46" spans="1:8" x14ac:dyDescent="0.3">
      <c r="A46" s="55"/>
      <c r="B46" s="63"/>
      <c r="C46" s="64"/>
      <c r="D46" s="65"/>
      <c r="E46" s="66"/>
      <c r="F46" s="65"/>
      <c r="G46" s="66"/>
      <c r="H46" s="66">
        <f t="shared" si="1"/>
        <v>0</v>
      </c>
    </row>
    <row r="47" spans="1:8" x14ac:dyDescent="0.3">
      <c r="A47" s="55"/>
      <c r="B47" s="63"/>
      <c r="C47" s="64"/>
      <c r="D47" s="65"/>
      <c r="E47" s="66"/>
      <c r="F47" s="65"/>
      <c r="G47" s="66"/>
      <c r="H47" s="66">
        <f t="shared" si="1"/>
        <v>0</v>
      </c>
    </row>
    <row r="48" spans="1:8" x14ac:dyDescent="0.3">
      <c r="A48" s="55">
        <v>13</v>
      </c>
      <c r="B48" s="61"/>
      <c r="C48" s="35"/>
      <c r="D48" s="36"/>
      <c r="E48" s="62"/>
      <c r="F48" s="36"/>
      <c r="G48" s="62"/>
      <c r="H48" s="62">
        <f t="shared" si="1"/>
        <v>0</v>
      </c>
    </row>
    <row r="49" spans="1:8" x14ac:dyDescent="0.3">
      <c r="A49" s="55"/>
      <c r="B49" s="61"/>
      <c r="C49" s="35"/>
      <c r="D49" s="36"/>
      <c r="E49" s="62"/>
      <c r="F49" s="36"/>
      <c r="G49" s="62"/>
      <c r="H49" s="62">
        <f t="shared" si="1"/>
        <v>0</v>
      </c>
    </row>
    <row r="50" spans="1:8" x14ac:dyDescent="0.3">
      <c r="A50" s="55"/>
      <c r="B50" s="61"/>
      <c r="C50" s="35"/>
      <c r="D50" s="36"/>
      <c r="E50" s="62"/>
      <c r="F50" s="36"/>
      <c r="G50" s="62"/>
      <c r="H50" s="62">
        <f t="shared" si="1"/>
        <v>0</v>
      </c>
    </row>
    <row r="51" spans="1:8" x14ac:dyDescent="0.3">
      <c r="A51" s="55"/>
      <c r="B51" s="63"/>
      <c r="C51" s="64"/>
      <c r="D51" s="65"/>
      <c r="E51" s="66"/>
      <c r="F51" s="65"/>
      <c r="G51" s="66"/>
      <c r="H51" s="66">
        <f t="shared" si="1"/>
        <v>0</v>
      </c>
    </row>
    <row r="52" spans="1:8" x14ac:dyDescent="0.3">
      <c r="A52" s="55"/>
      <c r="B52" s="63"/>
      <c r="C52" s="64"/>
      <c r="D52" s="65"/>
      <c r="E52" s="66"/>
      <c r="F52" s="65"/>
      <c r="G52" s="66"/>
      <c r="H52" s="66">
        <f t="shared" si="1"/>
        <v>0</v>
      </c>
    </row>
    <row r="53" spans="1:8" x14ac:dyDescent="0.3">
      <c r="A53" s="55">
        <v>14</v>
      </c>
      <c r="B53" s="63"/>
      <c r="C53" s="64"/>
      <c r="D53" s="65"/>
      <c r="E53" s="66"/>
      <c r="F53" s="65"/>
      <c r="G53" s="66"/>
      <c r="H53" s="66">
        <f t="shared" si="1"/>
        <v>0</v>
      </c>
    </row>
    <row r="54" spans="1:8" x14ac:dyDescent="0.3">
      <c r="A54" s="55"/>
      <c r="B54" s="61"/>
      <c r="C54" s="35"/>
      <c r="D54" s="36"/>
      <c r="E54" s="62"/>
      <c r="F54" s="36"/>
      <c r="G54" s="62"/>
      <c r="H54" s="62">
        <f t="shared" si="1"/>
        <v>0</v>
      </c>
    </row>
    <row r="55" spans="1:8" x14ac:dyDescent="0.3">
      <c r="A55" s="55"/>
      <c r="B55" s="61"/>
      <c r="C55" s="35"/>
      <c r="D55" s="36"/>
      <c r="E55" s="62"/>
      <c r="F55" s="36"/>
      <c r="G55" s="62"/>
      <c r="H55" s="62">
        <f t="shared" si="0"/>
        <v>0</v>
      </c>
    </row>
    <row r="56" spans="1:8" x14ac:dyDescent="0.3">
      <c r="A56" s="55"/>
      <c r="B56" s="61"/>
      <c r="C56" s="35"/>
      <c r="D56" s="35"/>
      <c r="E56" s="62"/>
      <c r="F56" s="36"/>
      <c r="G56" s="62"/>
      <c r="H56" s="62">
        <f t="shared" si="0"/>
        <v>0</v>
      </c>
    </row>
    <row r="57" spans="1:8" x14ac:dyDescent="0.3">
      <c r="A57" s="55"/>
      <c r="B57" s="63"/>
      <c r="C57" s="64"/>
      <c r="D57" s="65"/>
      <c r="E57" s="66"/>
      <c r="F57" s="65"/>
      <c r="G57" s="66"/>
      <c r="H57" s="66">
        <f t="shared" si="0"/>
        <v>0</v>
      </c>
    </row>
    <row r="58" spans="1:8" x14ac:dyDescent="0.3">
      <c r="A58" s="55"/>
      <c r="B58" s="63"/>
      <c r="C58" s="64"/>
      <c r="D58" s="64"/>
      <c r="E58" s="66"/>
      <c r="F58" s="65"/>
      <c r="G58" s="66"/>
      <c r="H58" s="66">
        <f t="shared" si="0"/>
        <v>0</v>
      </c>
    </row>
    <row r="59" spans="1:8" x14ac:dyDescent="0.3">
      <c r="A59" s="55"/>
      <c r="B59" s="63"/>
      <c r="C59" s="64"/>
      <c r="D59" s="64"/>
      <c r="E59" s="66"/>
      <c r="F59" s="65"/>
      <c r="G59" s="66"/>
      <c r="H59" s="66">
        <f t="shared" si="0"/>
        <v>0</v>
      </c>
    </row>
    <row r="60" spans="1:8" x14ac:dyDescent="0.3">
      <c r="A60" s="55"/>
      <c r="B60" s="63"/>
      <c r="C60" s="64"/>
      <c r="D60" s="64"/>
      <c r="E60" s="66"/>
      <c r="F60" s="65"/>
      <c r="G60" s="66"/>
      <c r="H60" s="66">
        <f t="shared" si="0"/>
        <v>0</v>
      </c>
    </row>
    <row r="61" spans="1:8" x14ac:dyDescent="0.3">
      <c r="A61" s="55"/>
      <c r="B61" s="67"/>
      <c r="C61" s="68"/>
      <c r="D61" s="68"/>
      <c r="E61" s="69">
        <f>SUM(E4:E60)</f>
        <v>127251494.28</v>
      </c>
      <c r="F61" s="70"/>
      <c r="G61" s="69">
        <f>SUM(G4:G60)</f>
        <v>44692961.280000001</v>
      </c>
      <c r="H61" s="69">
        <f>E61-G61</f>
        <v>82558533</v>
      </c>
    </row>
  </sheetData>
  <autoFilter ref="A3:H61" xr:uid="{00000000-0009-0000-0000-000002000000}"/>
  <mergeCells count="2">
    <mergeCell ref="A1:H1"/>
    <mergeCell ref="A2:H2"/>
  </mergeCells>
  <pageMargins left="0.7" right="0.7" top="0.75" bottom="0.75" header="0.3" footer="0.3"/>
  <pageSetup paperSize="9" scale="59" orientation="portrait" r:id="rId1"/>
  <headerFooter>
    <oddHeader>&amp;C&amp;"Times New Roman,Bold"&amp;16ROBBY ONE PHARMACY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1"/>
  <sheetViews>
    <sheetView zoomScaleNormal="100" workbookViewId="0">
      <selection activeCell="I8" sqref="I8"/>
    </sheetView>
  </sheetViews>
  <sheetFormatPr defaultRowHeight="14.4" x14ac:dyDescent="0.3"/>
  <cols>
    <col min="1" max="1" width="6.88671875" customWidth="1"/>
    <col min="2" max="2" width="33.109375" customWidth="1"/>
    <col min="3" max="3" width="13.109375" customWidth="1"/>
    <col min="4" max="4" width="18.6640625" customWidth="1"/>
    <col min="5" max="5" width="19" customWidth="1"/>
    <col min="6" max="6" width="13.6640625" customWidth="1"/>
    <col min="7" max="7" width="15.88671875" customWidth="1"/>
    <col min="8" max="8" width="19.88671875" customWidth="1"/>
  </cols>
  <sheetData>
    <row r="1" spans="1:8" ht="18" x14ac:dyDescent="0.35">
      <c r="B1" s="85" t="s">
        <v>76</v>
      </c>
      <c r="C1" s="85"/>
      <c r="D1" s="85"/>
      <c r="E1" s="85"/>
      <c r="F1" s="85"/>
      <c r="G1" s="85"/>
      <c r="H1" s="85"/>
    </row>
    <row r="2" spans="1:8" ht="18" x14ac:dyDescent="0.35">
      <c r="B2" s="85" t="s">
        <v>5</v>
      </c>
      <c r="C2" s="85"/>
      <c r="D2" s="85"/>
      <c r="E2" s="85"/>
      <c r="F2" s="85"/>
      <c r="G2" s="85"/>
      <c r="H2" s="85"/>
    </row>
    <row r="3" spans="1:8" x14ac:dyDescent="0.3">
      <c r="A3" s="54" t="s">
        <v>85</v>
      </c>
      <c r="B3" s="30" t="s">
        <v>6</v>
      </c>
      <c r="C3" s="31" t="s">
        <v>8</v>
      </c>
      <c r="D3" s="31" t="s">
        <v>0</v>
      </c>
      <c r="E3" s="32" t="s">
        <v>7</v>
      </c>
      <c r="F3" s="33" t="s">
        <v>1</v>
      </c>
      <c r="G3" s="32" t="s">
        <v>2</v>
      </c>
      <c r="H3" s="32" t="s">
        <v>3</v>
      </c>
    </row>
    <row r="4" spans="1:8" x14ac:dyDescent="0.3">
      <c r="A4" s="54">
        <v>1</v>
      </c>
      <c r="B4" s="22" t="s">
        <v>9</v>
      </c>
      <c r="C4" s="24">
        <v>8596</v>
      </c>
      <c r="D4" s="25">
        <v>46145</v>
      </c>
      <c r="E4" s="26">
        <v>1181949.5</v>
      </c>
      <c r="F4" s="11"/>
      <c r="G4" s="12"/>
      <c r="H4" s="12">
        <f>E4-G4</f>
        <v>1181949.5</v>
      </c>
    </row>
    <row r="5" spans="1:8" x14ac:dyDescent="0.3">
      <c r="A5" s="54"/>
      <c r="B5" s="22"/>
      <c r="C5" s="24">
        <v>8360</v>
      </c>
      <c r="D5" s="25">
        <v>46023</v>
      </c>
      <c r="E5" s="26">
        <v>4174920</v>
      </c>
      <c r="F5" s="11"/>
      <c r="G5" s="12"/>
      <c r="H5" s="12">
        <f t="shared" ref="H5" si="0">E5-G5</f>
        <v>4174920</v>
      </c>
    </row>
    <row r="6" spans="1:8" x14ac:dyDescent="0.3">
      <c r="A6" s="54"/>
      <c r="B6" s="22"/>
      <c r="C6" s="24"/>
      <c r="D6" s="25"/>
      <c r="E6" s="26"/>
      <c r="F6" s="11"/>
      <c r="G6" s="12"/>
      <c r="H6" s="12">
        <f t="shared" ref="H6:H74" si="1">E6-G6</f>
        <v>0</v>
      </c>
    </row>
    <row r="7" spans="1:8" x14ac:dyDescent="0.3">
      <c r="A7" s="54"/>
      <c r="B7" s="22"/>
      <c r="C7" s="24"/>
      <c r="D7" s="25"/>
      <c r="E7" s="26"/>
      <c r="F7" s="11"/>
      <c r="G7" s="12"/>
      <c r="H7" s="12">
        <f t="shared" si="1"/>
        <v>0</v>
      </c>
    </row>
    <row r="8" spans="1:8" x14ac:dyDescent="0.3">
      <c r="A8" s="54">
        <v>2</v>
      </c>
      <c r="B8" s="23" t="s">
        <v>26</v>
      </c>
      <c r="C8" s="27">
        <v>8363</v>
      </c>
      <c r="D8" s="28">
        <v>46023</v>
      </c>
      <c r="E8" s="29">
        <v>720000</v>
      </c>
      <c r="F8" s="14">
        <v>46055</v>
      </c>
      <c r="G8" s="15">
        <v>720000</v>
      </c>
      <c r="H8" s="15">
        <f t="shared" si="1"/>
        <v>0</v>
      </c>
    </row>
    <row r="9" spans="1:8" x14ac:dyDescent="0.3">
      <c r="A9" s="54"/>
      <c r="B9" s="23"/>
      <c r="C9" s="27"/>
      <c r="D9" s="28"/>
      <c r="E9" s="29"/>
      <c r="F9" s="14"/>
      <c r="G9" s="15"/>
      <c r="H9" s="15">
        <f t="shared" si="1"/>
        <v>0</v>
      </c>
    </row>
    <row r="10" spans="1:8" x14ac:dyDescent="0.3">
      <c r="A10" s="54"/>
      <c r="B10" s="23"/>
      <c r="C10" s="27"/>
      <c r="D10" s="28"/>
      <c r="E10" s="29"/>
      <c r="F10" s="14"/>
      <c r="G10" s="15"/>
      <c r="H10" s="15">
        <f t="shared" si="1"/>
        <v>0</v>
      </c>
    </row>
    <row r="11" spans="1:8" x14ac:dyDescent="0.3">
      <c r="A11" s="54"/>
      <c r="B11" s="23"/>
      <c r="C11" s="27"/>
      <c r="D11" s="28"/>
      <c r="E11" s="29"/>
      <c r="F11" s="14"/>
      <c r="G11" s="15"/>
      <c r="H11" s="15">
        <f t="shared" si="1"/>
        <v>0</v>
      </c>
    </row>
    <row r="12" spans="1:8" x14ac:dyDescent="0.3">
      <c r="A12" s="54">
        <v>3</v>
      </c>
      <c r="B12" s="22" t="s">
        <v>10</v>
      </c>
      <c r="C12" s="24">
        <v>8595</v>
      </c>
      <c r="D12" s="25">
        <v>46145</v>
      </c>
      <c r="E12" s="26">
        <v>869720</v>
      </c>
      <c r="F12" s="11"/>
      <c r="G12" s="12"/>
      <c r="H12" s="12">
        <f t="shared" si="1"/>
        <v>869720</v>
      </c>
    </row>
    <row r="13" spans="1:8" x14ac:dyDescent="0.3">
      <c r="A13" s="54"/>
      <c r="B13" s="22"/>
      <c r="C13" s="24">
        <v>8365</v>
      </c>
      <c r="D13" s="25">
        <v>46023</v>
      </c>
      <c r="E13" s="26">
        <v>1142924</v>
      </c>
      <c r="F13" s="11"/>
      <c r="G13" s="12"/>
      <c r="H13" s="12">
        <f t="shared" si="1"/>
        <v>1142924</v>
      </c>
    </row>
    <row r="14" spans="1:8" x14ac:dyDescent="0.3">
      <c r="A14" s="54"/>
      <c r="B14" s="22"/>
      <c r="C14" s="24"/>
      <c r="D14" s="25"/>
      <c r="E14" s="26"/>
      <c r="F14" s="11"/>
      <c r="G14" s="12"/>
      <c r="H14" s="12">
        <f t="shared" si="1"/>
        <v>0</v>
      </c>
    </row>
    <row r="15" spans="1:8" x14ac:dyDescent="0.3">
      <c r="A15" s="54">
        <v>4</v>
      </c>
      <c r="B15" s="23" t="s">
        <v>11</v>
      </c>
      <c r="C15" s="27">
        <v>8594</v>
      </c>
      <c r="D15" s="28">
        <v>46145</v>
      </c>
      <c r="E15" s="29">
        <v>220362</v>
      </c>
      <c r="F15" s="14"/>
      <c r="G15" s="15"/>
      <c r="H15" s="15">
        <f t="shared" si="1"/>
        <v>220362</v>
      </c>
    </row>
    <row r="16" spans="1:8" x14ac:dyDescent="0.3">
      <c r="A16" s="54"/>
      <c r="B16" s="23"/>
      <c r="C16" s="27">
        <v>8369</v>
      </c>
      <c r="D16" s="34" t="s">
        <v>25</v>
      </c>
      <c r="E16" s="29">
        <v>2142820</v>
      </c>
      <c r="F16" s="14"/>
      <c r="G16" s="15"/>
      <c r="H16" s="15">
        <f t="shared" si="1"/>
        <v>2142820</v>
      </c>
    </row>
    <row r="17" spans="1:8" x14ac:dyDescent="0.3">
      <c r="A17" s="54"/>
      <c r="B17" s="23"/>
      <c r="C17" s="27"/>
      <c r="D17" s="28"/>
      <c r="E17" s="29"/>
      <c r="F17" s="14"/>
      <c r="G17" s="15"/>
      <c r="H17" s="15">
        <f t="shared" si="1"/>
        <v>0</v>
      </c>
    </row>
    <row r="18" spans="1:8" x14ac:dyDescent="0.3">
      <c r="A18" s="54">
        <v>5</v>
      </c>
      <c r="B18" s="22" t="s">
        <v>11</v>
      </c>
      <c r="C18" s="24">
        <v>8369</v>
      </c>
      <c r="D18" s="25">
        <v>46023</v>
      </c>
      <c r="E18" s="26">
        <v>2142820</v>
      </c>
      <c r="F18" s="11"/>
      <c r="G18" s="12"/>
      <c r="H18" s="12">
        <f t="shared" si="1"/>
        <v>2142820</v>
      </c>
    </row>
    <row r="19" spans="1:8" x14ac:dyDescent="0.3">
      <c r="A19" s="54"/>
      <c r="B19" s="22"/>
      <c r="C19" s="24"/>
      <c r="D19" s="25"/>
      <c r="E19" s="26"/>
      <c r="F19" s="11"/>
      <c r="G19" s="12"/>
      <c r="H19" s="12">
        <f t="shared" si="1"/>
        <v>0</v>
      </c>
    </row>
    <row r="20" spans="1:8" x14ac:dyDescent="0.3">
      <c r="A20" s="54"/>
      <c r="B20" s="22"/>
      <c r="C20" s="24"/>
      <c r="D20" s="25"/>
      <c r="E20" s="26"/>
      <c r="F20" s="11"/>
      <c r="G20" s="12"/>
      <c r="H20" s="12">
        <f t="shared" si="1"/>
        <v>0</v>
      </c>
    </row>
    <row r="21" spans="1:8" x14ac:dyDescent="0.3">
      <c r="A21" s="54">
        <v>6</v>
      </c>
      <c r="B21" s="23" t="s">
        <v>12</v>
      </c>
      <c r="C21" s="27">
        <v>8593</v>
      </c>
      <c r="D21" s="28">
        <v>46145</v>
      </c>
      <c r="E21" s="29">
        <v>257974</v>
      </c>
      <c r="F21" s="14"/>
      <c r="G21" s="15"/>
      <c r="H21" s="15">
        <f>E21-G21</f>
        <v>257974</v>
      </c>
    </row>
    <row r="22" spans="1:8" x14ac:dyDescent="0.3">
      <c r="A22" s="54"/>
      <c r="B22" s="23"/>
      <c r="C22" s="27"/>
      <c r="D22" s="28"/>
      <c r="E22" s="29"/>
      <c r="F22" s="14"/>
      <c r="G22" s="15"/>
      <c r="H22" s="15">
        <f t="shared" ref="H22:H62" si="2">E22-G22</f>
        <v>0</v>
      </c>
    </row>
    <row r="23" spans="1:8" x14ac:dyDescent="0.3">
      <c r="A23" s="54"/>
      <c r="B23" s="23"/>
      <c r="C23" s="27"/>
      <c r="D23" s="28"/>
      <c r="E23" s="29"/>
      <c r="F23" s="14"/>
      <c r="G23" s="15"/>
      <c r="H23" s="15">
        <f t="shared" si="2"/>
        <v>0</v>
      </c>
    </row>
    <row r="24" spans="1:8" x14ac:dyDescent="0.3">
      <c r="A24" s="54">
        <v>7</v>
      </c>
      <c r="B24" s="22" t="s">
        <v>13</v>
      </c>
      <c r="C24" s="24">
        <v>8592</v>
      </c>
      <c r="D24" s="25">
        <v>46145</v>
      </c>
      <c r="E24" s="26">
        <v>236650</v>
      </c>
      <c r="F24" s="11"/>
      <c r="G24" s="12"/>
      <c r="H24" s="12">
        <f t="shared" si="2"/>
        <v>236650</v>
      </c>
    </row>
    <row r="25" spans="1:8" x14ac:dyDescent="0.3">
      <c r="A25" s="54"/>
      <c r="B25" s="22"/>
      <c r="C25" s="24"/>
      <c r="D25" s="25"/>
      <c r="E25" s="26"/>
      <c r="F25" s="11"/>
      <c r="G25" s="12"/>
      <c r="H25" s="12">
        <f t="shared" si="2"/>
        <v>0</v>
      </c>
    </row>
    <row r="26" spans="1:8" x14ac:dyDescent="0.3">
      <c r="A26" s="54"/>
      <c r="B26" s="22"/>
      <c r="C26" s="24"/>
      <c r="D26" s="25"/>
      <c r="E26" s="26"/>
      <c r="F26" s="11"/>
      <c r="G26" s="12"/>
      <c r="H26" s="12">
        <f t="shared" si="2"/>
        <v>0</v>
      </c>
    </row>
    <row r="27" spans="1:8" x14ac:dyDescent="0.3">
      <c r="A27" s="54">
        <v>8</v>
      </c>
      <c r="B27" s="23" t="s">
        <v>14</v>
      </c>
      <c r="C27" s="27">
        <v>8591</v>
      </c>
      <c r="D27" s="28">
        <v>46145</v>
      </c>
      <c r="E27" s="29">
        <v>436970</v>
      </c>
      <c r="F27" s="14"/>
      <c r="G27" s="15"/>
      <c r="H27" s="15">
        <f t="shared" si="2"/>
        <v>436970</v>
      </c>
    </row>
    <row r="28" spans="1:8" x14ac:dyDescent="0.3">
      <c r="A28" s="54"/>
      <c r="B28" s="23"/>
      <c r="C28" s="27">
        <v>8367</v>
      </c>
      <c r="D28" s="28">
        <v>46023</v>
      </c>
      <c r="E28" s="29">
        <v>675298.59</v>
      </c>
      <c r="F28" s="14">
        <v>46296</v>
      </c>
      <c r="G28" s="29">
        <v>675298.59</v>
      </c>
      <c r="H28" s="15">
        <f>E28-G28</f>
        <v>0</v>
      </c>
    </row>
    <row r="29" spans="1:8" x14ac:dyDescent="0.3">
      <c r="A29" s="54"/>
      <c r="B29" s="23"/>
      <c r="C29" s="27"/>
      <c r="D29" s="28"/>
      <c r="E29" s="29"/>
      <c r="F29" s="14"/>
      <c r="G29" s="15"/>
      <c r="H29" s="15">
        <f t="shared" si="2"/>
        <v>0</v>
      </c>
    </row>
    <row r="30" spans="1:8" ht="28.8" x14ac:dyDescent="0.3">
      <c r="A30" s="54">
        <v>9</v>
      </c>
      <c r="B30" s="22" t="s">
        <v>15</v>
      </c>
      <c r="C30" s="24">
        <v>8597</v>
      </c>
      <c r="D30" s="25">
        <v>46145</v>
      </c>
      <c r="E30" s="26">
        <v>999250</v>
      </c>
      <c r="F30" s="11"/>
      <c r="G30" s="12"/>
      <c r="H30" s="12">
        <f t="shared" si="2"/>
        <v>999250</v>
      </c>
    </row>
    <row r="31" spans="1:8" x14ac:dyDescent="0.3">
      <c r="A31" s="54"/>
      <c r="B31" s="22"/>
      <c r="C31" s="24"/>
      <c r="D31" s="25"/>
      <c r="E31" s="26"/>
      <c r="F31" s="11"/>
      <c r="G31" s="12"/>
      <c r="H31" s="12">
        <f t="shared" si="2"/>
        <v>0</v>
      </c>
    </row>
    <row r="32" spans="1:8" x14ac:dyDescent="0.3">
      <c r="A32" s="54"/>
      <c r="B32" s="22"/>
      <c r="C32" s="24"/>
      <c r="D32" s="25"/>
      <c r="E32" s="26"/>
      <c r="F32" s="11"/>
      <c r="G32" s="12"/>
      <c r="H32" s="12">
        <f t="shared" si="2"/>
        <v>0</v>
      </c>
    </row>
    <row r="33" spans="1:8" x14ac:dyDescent="0.3">
      <c r="A33" s="54">
        <v>10</v>
      </c>
      <c r="B33" s="23" t="s">
        <v>16</v>
      </c>
      <c r="C33" s="27">
        <v>8598</v>
      </c>
      <c r="D33" s="28">
        <v>46145</v>
      </c>
      <c r="E33" s="29">
        <v>71280</v>
      </c>
      <c r="F33" s="14"/>
      <c r="G33" s="15"/>
      <c r="H33" s="15">
        <f t="shared" si="2"/>
        <v>71280</v>
      </c>
    </row>
    <row r="34" spans="1:8" x14ac:dyDescent="0.3">
      <c r="A34" s="54"/>
      <c r="B34" s="23"/>
      <c r="C34" s="27">
        <v>8597</v>
      </c>
      <c r="D34" s="28">
        <v>46145</v>
      </c>
      <c r="E34" s="29">
        <v>999250</v>
      </c>
      <c r="F34" s="14"/>
      <c r="G34" s="15"/>
      <c r="H34" s="15">
        <f t="shared" si="2"/>
        <v>999250</v>
      </c>
    </row>
    <row r="35" spans="1:8" x14ac:dyDescent="0.3">
      <c r="A35" s="54"/>
      <c r="B35" s="23"/>
      <c r="C35" s="27">
        <v>8364</v>
      </c>
      <c r="D35" s="43">
        <v>46023</v>
      </c>
      <c r="E35" s="29">
        <v>40439.4</v>
      </c>
      <c r="F35" s="28">
        <v>46358</v>
      </c>
      <c r="G35" s="15">
        <v>40439.4</v>
      </c>
      <c r="H35" s="15">
        <f t="shared" si="2"/>
        <v>0</v>
      </c>
    </row>
    <row r="36" spans="1:8" x14ac:dyDescent="0.3">
      <c r="A36" s="54"/>
      <c r="B36" s="23"/>
      <c r="C36" s="27"/>
      <c r="D36" s="28"/>
      <c r="E36" s="29"/>
      <c r="F36" s="14"/>
      <c r="G36" s="15"/>
      <c r="H36" s="15">
        <f t="shared" si="2"/>
        <v>0</v>
      </c>
    </row>
    <row r="37" spans="1:8" x14ac:dyDescent="0.3">
      <c r="A37" s="54">
        <v>11</v>
      </c>
      <c r="B37" s="22" t="s">
        <v>17</v>
      </c>
      <c r="C37" s="24">
        <v>8600</v>
      </c>
      <c r="D37" s="25">
        <v>46145</v>
      </c>
      <c r="E37" s="26">
        <v>720000</v>
      </c>
      <c r="F37" s="11"/>
      <c r="G37" s="12"/>
      <c r="H37" s="12">
        <f t="shared" si="2"/>
        <v>720000</v>
      </c>
    </row>
    <row r="38" spans="1:8" x14ac:dyDescent="0.3">
      <c r="A38" s="54"/>
      <c r="B38" s="22"/>
      <c r="C38" s="24"/>
      <c r="D38" s="25"/>
      <c r="E38" s="26"/>
      <c r="F38" s="11"/>
      <c r="G38" s="12"/>
      <c r="H38" s="12">
        <f t="shared" si="2"/>
        <v>0</v>
      </c>
    </row>
    <row r="39" spans="1:8" x14ac:dyDescent="0.3">
      <c r="A39" s="54"/>
      <c r="B39" s="22"/>
      <c r="C39" s="24"/>
      <c r="D39" s="25"/>
      <c r="E39" s="26"/>
      <c r="F39" s="11"/>
      <c r="G39" s="12"/>
      <c r="H39" s="12">
        <f t="shared" si="2"/>
        <v>0</v>
      </c>
    </row>
    <row r="40" spans="1:8" x14ac:dyDescent="0.3">
      <c r="A40" s="54">
        <v>12</v>
      </c>
      <c r="B40" s="23" t="s">
        <v>18</v>
      </c>
      <c r="C40" s="27">
        <v>8601</v>
      </c>
      <c r="D40" s="28">
        <v>46145</v>
      </c>
      <c r="E40" s="29">
        <v>55000</v>
      </c>
      <c r="F40" s="14"/>
      <c r="G40" s="15"/>
      <c r="H40" s="15">
        <f t="shared" si="2"/>
        <v>55000</v>
      </c>
    </row>
    <row r="41" spans="1:8" x14ac:dyDescent="0.3">
      <c r="A41" s="54"/>
      <c r="B41" s="23"/>
      <c r="C41" s="27"/>
      <c r="D41" s="28"/>
      <c r="E41" s="29"/>
      <c r="F41" s="14"/>
      <c r="G41" s="15"/>
      <c r="H41" s="15">
        <f t="shared" si="2"/>
        <v>0</v>
      </c>
    </row>
    <row r="42" spans="1:8" x14ac:dyDescent="0.3">
      <c r="A42" s="54"/>
      <c r="B42" s="23"/>
      <c r="C42" s="27"/>
      <c r="D42" s="28"/>
      <c r="E42" s="29"/>
      <c r="F42" s="14"/>
      <c r="G42" s="15"/>
      <c r="H42" s="15">
        <f t="shared" si="2"/>
        <v>0</v>
      </c>
    </row>
    <row r="43" spans="1:8" x14ac:dyDescent="0.3">
      <c r="A43" s="54">
        <v>13</v>
      </c>
      <c r="B43" s="22" t="s">
        <v>19</v>
      </c>
      <c r="C43" s="24">
        <v>8606</v>
      </c>
      <c r="D43" s="25">
        <v>46145</v>
      </c>
      <c r="E43" s="26">
        <v>1096500</v>
      </c>
      <c r="F43" s="11"/>
      <c r="G43" s="12"/>
      <c r="H43" s="12">
        <f t="shared" si="2"/>
        <v>1096500</v>
      </c>
    </row>
    <row r="44" spans="1:8" x14ac:dyDescent="0.3">
      <c r="A44" s="54"/>
      <c r="B44" s="22"/>
      <c r="C44" s="24"/>
      <c r="D44" s="25"/>
      <c r="E44" s="26"/>
      <c r="F44" s="11"/>
      <c r="G44" s="12"/>
      <c r="H44" s="12">
        <f t="shared" si="2"/>
        <v>0</v>
      </c>
    </row>
    <row r="45" spans="1:8" x14ac:dyDescent="0.3">
      <c r="A45" s="54"/>
      <c r="B45" s="22"/>
      <c r="C45" s="24"/>
      <c r="D45" s="25"/>
      <c r="E45" s="26"/>
      <c r="F45" s="11"/>
      <c r="G45" s="12"/>
      <c r="H45" s="12">
        <f t="shared" si="2"/>
        <v>0</v>
      </c>
    </row>
    <row r="46" spans="1:8" x14ac:dyDescent="0.3">
      <c r="A46" s="54">
        <v>14</v>
      </c>
      <c r="B46" s="23" t="s">
        <v>20</v>
      </c>
      <c r="C46" s="27">
        <v>8599</v>
      </c>
      <c r="D46" s="28">
        <v>46145</v>
      </c>
      <c r="E46" s="29">
        <v>720900</v>
      </c>
      <c r="F46" s="14"/>
      <c r="G46" s="15"/>
      <c r="H46" s="15">
        <f t="shared" si="2"/>
        <v>720900</v>
      </c>
    </row>
    <row r="47" spans="1:8" x14ac:dyDescent="0.3">
      <c r="A47" s="54"/>
      <c r="B47" s="23"/>
      <c r="C47" s="27"/>
      <c r="D47" s="28"/>
      <c r="E47" s="29"/>
      <c r="F47" s="14"/>
      <c r="G47" s="15"/>
      <c r="H47" s="15">
        <f t="shared" si="2"/>
        <v>0</v>
      </c>
    </row>
    <row r="48" spans="1:8" x14ac:dyDescent="0.3">
      <c r="A48" s="54"/>
      <c r="B48" s="23"/>
      <c r="C48" s="27"/>
      <c r="D48" s="28"/>
      <c r="E48" s="29"/>
      <c r="F48" s="14"/>
      <c r="G48" s="15"/>
      <c r="H48" s="15">
        <f t="shared" si="2"/>
        <v>0</v>
      </c>
    </row>
    <row r="49" spans="1:8" x14ac:dyDescent="0.3">
      <c r="A49" s="54">
        <v>15</v>
      </c>
      <c r="B49" s="22" t="s">
        <v>21</v>
      </c>
      <c r="C49" s="24">
        <v>8366</v>
      </c>
      <c r="D49" s="25">
        <v>46023</v>
      </c>
      <c r="E49" s="26">
        <v>180000</v>
      </c>
      <c r="F49" s="11"/>
      <c r="G49" s="12"/>
      <c r="H49" s="12">
        <f t="shared" si="2"/>
        <v>180000</v>
      </c>
    </row>
    <row r="50" spans="1:8" x14ac:dyDescent="0.3">
      <c r="A50" s="54"/>
      <c r="B50" s="22"/>
      <c r="C50" s="24"/>
      <c r="D50" s="25"/>
      <c r="E50" s="26"/>
      <c r="F50" s="11"/>
      <c r="G50" s="12"/>
      <c r="H50" s="12">
        <f t="shared" si="2"/>
        <v>0</v>
      </c>
    </row>
    <row r="51" spans="1:8" x14ac:dyDescent="0.3">
      <c r="A51" s="54"/>
      <c r="B51" s="22"/>
      <c r="C51" s="24"/>
      <c r="D51" s="25"/>
      <c r="E51" s="26"/>
      <c r="F51" s="11"/>
      <c r="G51" s="12"/>
      <c r="H51" s="12">
        <f t="shared" si="2"/>
        <v>0</v>
      </c>
    </row>
    <row r="52" spans="1:8" x14ac:dyDescent="0.3">
      <c r="A52" s="54">
        <v>16</v>
      </c>
      <c r="B52" s="23" t="s">
        <v>22</v>
      </c>
      <c r="C52" s="27">
        <v>8362</v>
      </c>
      <c r="D52" s="28">
        <v>46023</v>
      </c>
      <c r="E52" s="29">
        <v>4384639.45</v>
      </c>
      <c r="F52" s="14"/>
      <c r="G52" s="15"/>
      <c r="H52" s="15">
        <f t="shared" si="2"/>
        <v>4384639.45</v>
      </c>
    </row>
    <row r="53" spans="1:8" x14ac:dyDescent="0.3">
      <c r="A53" s="54"/>
      <c r="B53" s="23"/>
      <c r="C53" s="27"/>
      <c r="D53" s="28"/>
      <c r="E53" s="29"/>
      <c r="F53" s="14"/>
      <c r="G53" s="15"/>
      <c r="H53" s="15">
        <f t="shared" si="2"/>
        <v>0</v>
      </c>
    </row>
    <row r="54" spans="1:8" x14ac:dyDescent="0.3">
      <c r="A54" s="54"/>
      <c r="B54" s="23"/>
      <c r="C54" s="27"/>
      <c r="D54" s="28"/>
      <c r="E54" s="29"/>
      <c r="F54" s="14"/>
      <c r="G54" s="15"/>
      <c r="H54" s="15"/>
    </row>
    <row r="55" spans="1:8" x14ac:dyDescent="0.3">
      <c r="A55" s="54"/>
      <c r="B55" s="23"/>
      <c r="C55" s="27"/>
      <c r="D55" s="28"/>
      <c r="E55" s="29"/>
      <c r="F55" s="14"/>
      <c r="G55" s="15"/>
      <c r="H55" s="15">
        <f t="shared" si="2"/>
        <v>0</v>
      </c>
    </row>
    <row r="56" spans="1:8" ht="28.8" x14ac:dyDescent="0.3">
      <c r="A56" s="54">
        <v>17</v>
      </c>
      <c r="B56" s="22" t="s">
        <v>23</v>
      </c>
      <c r="C56" s="24">
        <v>8406</v>
      </c>
      <c r="D56" s="25">
        <v>45139</v>
      </c>
      <c r="E56" s="26">
        <v>182500</v>
      </c>
      <c r="F56" s="11"/>
      <c r="G56" s="12"/>
      <c r="H56" s="12">
        <f t="shared" si="2"/>
        <v>182500</v>
      </c>
    </row>
    <row r="57" spans="1:8" x14ac:dyDescent="0.3">
      <c r="A57" s="54"/>
      <c r="B57" s="22"/>
      <c r="C57" s="24"/>
      <c r="D57" s="25"/>
      <c r="E57" s="26"/>
      <c r="F57" s="11"/>
      <c r="G57" s="12"/>
      <c r="H57" s="12">
        <f t="shared" si="2"/>
        <v>0</v>
      </c>
    </row>
    <row r="58" spans="1:8" x14ac:dyDescent="0.3">
      <c r="A58" s="54"/>
      <c r="B58" s="22"/>
      <c r="C58" s="24"/>
      <c r="D58" s="25"/>
      <c r="E58" s="26"/>
      <c r="F58" s="11"/>
      <c r="G58" s="12"/>
      <c r="H58" s="12">
        <f t="shared" si="2"/>
        <v>0</v>
      </c>
    </row>
    <row r="59" spans="1:8" ht="28.8" x14ac:dyDescent="0.3">
      <c r="A59" s="54">
        <v>18</v>
      </c>
      <c r="B59" s="23" t="s">
        <v>23</v>
      </c>
      <c r="C59" s="27">
        <v>8368</v>
      </c>
      <c r="D59" s="28">
        <v>46023</v>
      </c>
      <c r="E59" s="29">
        <v>12080391.140000001</v>
      </c>
      <c r="F59" s="14"/>
      <c r="G59" s="15"/>
      <c r="H59" s="15">
        <f t="shared" si="2"/>
        <v>12080391.140000001</v>
      </c>
    </row>
    <row r="60" spans="1:8" x14ac:dyDescent="0.3">
      <c r="A60" s="54"/>
      <c r="B60" s="23"/>
      <c r="C60" s="27"/>
      <c r="D60" s="28"/>
      <c r="E60" s="29"/>
      <c r="F60" s="14"/>
      <c r="G60" s="15"/>
      <c r="H60" s="15">
        <f t="shared" si="2"/>
        <v>0</v>
      </c>
    </row>
    <row r="61" spans="1:8" x14ac:dyDescent="0.3">
      <c r="A61" s="54"/>
      <c r="B61" s="23"/>
      <c r="C61" s="27"/>
      <c r="D61" s="28"/>
      <c r="E61" s="29"/>
      <c r="F61" s="14"/>
      <c r="G61" s="15"/>
      <c r="H61" s="15">
        <f t="shared" si="2"/>
        <v>0</v>
      </c>
    </row>
    <row r="62" spans="1:8" x14ac:dyDescent="0.3">
      <c r="A62" s="54">
        <v>19</v>
      </c>
      <c r="B62" s="41" t="s">
        <v>24</v>
      </c>
      <c r="C62" s="35">
        <v>8605</v>
      </c>
      <c r="D62" s="36">
        <v>46145</v>
      </c>
      <c r="E62" s="37">
        <v>6443195.1299999999</v>
      </c>
      <c r="F62" s="38"/>
      <c r="G62" s="39"/>
      <c r="H62" s="39">
        <f t="shared" si="2"/>
        <v>6443195.1299999999</v>
      </c>
    </row>
    <row r="63" spans="1:8" x14ac:dyDescent="0.3">
      <c r="A63" s="54"/>
      <c r="B63" s="42"/>
      <c r="C63" s="40">
        <v>8406</v>
      </c>
      <c r="D63" s="38">
        <v>46235</v>
      </c>
      <c r="E63" s="39">
        <v>182500</v>
      </c>
      <c r="F63" s="38"/>
      <c r="G63" s="39"/>
      <c r="H63" s="39">
        <f t="shared" si="1"/>
        <v>182500</v>
      </c>
    </row>
    <row r="64" spans="1:8" x14ac:dyDescent="0.3">
      <c r="A64" s="54"/>
      <c r="B64" s="42"/>
      <c r="C64" s="40">
        <v>8361</v>
      </c>
      <c r="D64" s="38">
        <v>46023</v>
      </c>
      <c r="E64" s="39">
        <v>12332164.199999999</v>
      </c>
      <c r="F64" s="38">
        <v>46267</v>
      </c>
      <c r="G64" s="39">
        <v>12332164.199999999</v>
      </c>
      <c r="H64" s="39">
        <f t="shared" si="1"/>
        <v>0</v>
      </c>
    </row>
    <row r="65" spans="1:8" x14ac:dyDescent="0.3">
      <c r="A65" s="54"/>
      <c r="B65" s="42"/>
      <c r="C65" s="40"/>
      <c r="D65" s="38"/>
      <c r="E65" s="39"/>
      <c r="F65" s="38"/>
      <c r="G65" s="39"/>
      <c r="H65" s="39">
        <f t="shared" si="1"/>
        <v>0</v>
      </c>
    </row>
    <row r="66" spans="1:8" x14ac:dyDescent="0.3">
      <c r="A66" s="54"/>
      <c r="B66" s="42"/>
      <c r="C66" s="40"/>
      <c r="D66" s="38"/>
      <c r="E66" s="39"/>
      <c r="F66" s="38"/>
      <c r="G66" s="39"/>
      <c r="H66" s="39">
        <f t="shared" si="1"/>
        <v>0</v>
      </c>
    </row>
    <row r="67" spans="1:8" x14ac:dyDescent="0.3">
      <c r="A67" s="54">
        <v>20</v>
      </c>
      <c r="B67" s="21" t="s">
        <v>57</v>
      </c>
      <c r="C67" s="13">
        <v>8359</v>
      </c>
      <c r="D67" s="14">
        <v>46023</v>
      </c>
      <c r="E67" s="15">
        <v>256150</v>
      </c>
      <c r="F67" s="14"/>
      <c r="G67" s="15">
        <v>256150</v>
      </c>
      <c r="H67" s="15">
        <f t="shared" si="1"/>
        <v>0</v>
      </c>
    </row>
    <row r="68" spans="1:8" x14ac:dyDescent="0.3">
      <c r="A68" s="54"/>
      <c r="B68" s="44"/>
      <c r="C68" s="13"/>
      <c r="D68" s="14"/>
      <c r="E68" s="15"/>
      <c r="F68" s="14"/>
      <c r="G68" s="15"/>
      <c r="H68" s="15">
        <f t="shared" si="1"/>
        <v>0</v>
      </c>
    </row>
    <row r="69" spans="1:8" x14ac:dyDescent="0.3">
      <c r="A69" s="54"/>
      <c r="B69" s="44"/>
      <c r="C69" s="13"/>
      <c r="D69" s="14"/>
      <c r="E69" s="15"/>
      <c r="F69" s="14"/>
      <c r="G69" s="15"/>
      <c r="H69" s="15">
        <f t="shared" si="1"/>
        <v>0</v>
      </c>
    </row>
    <row r="70" spans="1:8" x14ac:dyDescent="0.3">
      <c r="A70" s="54"/>
      <c r="B70" s="44"/>
      <c r="C70" s="13"/>
      <c r="D70" s="14"/>
      <c r="E70" s="15"/>
      <c r="F70" s="14"/>
      <c r="G70" s="15"/>
      <c r="H70" s="15">
        <f t="shared" si="1"/>
        <v>0</v>
      </c>
    </row>
    <row r="71" spans="1:8" x14ac:dyDescent="0.3">
      <c r="A71" s="54"/>
      <c r="B71" s="44"/>
      <c r="C71" s="13"/>
      <c r="D71" s="14"/>
      <c r="E71" s="15"/>
      <c r="F71" s="14"/>
      <c r="G71" s="15"/>
      <c r="H71" s="15">
        <f t="shared" si="1"/>
        <v>0</v>
      </c>
    </row>
    <row r="72" spans="1:8" x14ac:dyDescent="0.3">
      <c r="A72" s="54">
        <v>21</v>
      </c>
      <c r="B72" s="42" t="s">
        <v>27</v>
      </c>
      <c r="C72" s="49">
        <v>8370</v>
      </c>
      <c r="D72" s="50">
        <v>46023</v>
      </c>
      <c r="E72" s="49">
        <v>854000</v>
      </c>
      <c r="F72" s="50">
        <v>46267</v>
      </c>
      <c r="G72" s="49">
        <v>854000</v>
      </c>
      <c r="H72" s="39">
        <f>E72-G72</f>
        <v>0</v>
      </c>
    </row>
    <row r="73" spans="1:8" x14ac:dyDescent="0.3">
      <c r="A73" s="54"/>
      <c r="B73" s="49"/>
      <c r="C73" s="49"/>
      <c r="D73" s="50"/>
      <c r="E73" s="49"/>
      <c r="F73" s="50"/>
      <c r="G73" s="49"/>
      <c r="H73" s="39">
        <f t="shared" si="1"/>
        <v>0</v>
      </c>
    </row>
    <row r="74" spans="1:8" x14ac:dyDescent="0.3">
      <c r="A74" s="54"/>
      <c r="B74" s="49"/>
      <c r="C74" s="49"/>
      <c r="D74" s="49"/>
      <c r="E74" s="49"/>
      <c r="F74" s="49"/>
      <c r="G74" s="49"/>
      <c r="H74" s="39">
        <f t="shared" si="1"/>
        <v>0</v>
      </c>
    </row>
    <row r="75" spans="1:8" x14ac:dyDescent="0.3">
      <c r="A75" s="54"/>
      <c r="B75" s="49"/>
      <c r="C75" s="49"/>
      <c r="D75" s="49"/>
      <c r="E75" s="49"/>
      <c r="F75" s="49"/>
      <c r="G75" s="49"/>
      <c r="H75" s="39">
        <f t="shared" ref="H75:H76" si="3">E75-G75</f>
        <v>0</v>
      </c>
    </row>
    <row r="76" spans="1:8" x14ac:dyDescent="0.3">
      <c r="A76" s="54">
        <v>22</v>
      </c>
      <c r="B76" s="44" t="s">
        <v>98</v>
      </c>
      <c r="C76" s="44">
        <v>8601</v>
      </c>
      <c r="D76" s="72">
        <v>46145</v>
      </c>
      <c r="E76" s="44">
        <v>55000</v>
      </c>
      <c r="F76" s="44"/>
      <c r="G76" s="44"/>
      <c r="H76" s="15">
        <f t="shared" si="3"/>
        <v>55000</v>
      </c>
    </row>
    <row r="77" spans="1:8" x14ac:dyDescent="0.3">
      <c r="A77" s="54"/>
      <c r="B77" s="44"/>
      <c r="C77" s="44"/>
      <c r="D77" s="72"/>
      <c r="E77" s="44"/>
      <c r="F77" s="44"/>
      <c r="G77" s="44"/>
      <c r="H77" s="15"/>
    </row>
    <row r="78" spans="1:8" x14ac:dyDescent="0.3">
      <c r="A78" s="54"/>
      <c r="B78" s="44"/>
      <c r="C78" s="44"/>
      <c r="D78" s="72"/>
      <c r="E78" s="44"/>
      <c r="F78" s="44"/>
      <c r="G78" s="44"/>
      <c r="H78" s="15"/>
    </row>
    <row r="79" spans="1:8" x14ac:dyDescent="0.3">
      <c r="A79" s="54"/>
      <c r="B79" s="44"/>
      <c r="C79" s="44"/>
      <c r="D79" s="72"/>
      <c r="E79" s="44"/>
      <c r="F79" s="44"/>
      <c r="G79" s="44"/>
      <c r="H79" s="15"/>
    </row>
    <row r="80" spans="1:8" x14ac:dyDescent="0.3">
      <c r="A80" s="54"/>
      <c r="B80" s="45"/>
      <c r="C80" s="45"/>
      <c r="D80" s="45"/>
      <c r="E80" s="45"/>
      <c r="F80" s="45"/>
      <c r="G80" s="45"/>
      <c r="H80" s="45"/>
    </row>
    <row r="81" spans="1:8" x14ac:dyDescent="0.3">
      <c r="A81" s="54"/>
      <c r="B81" s="16"/>
      <c r="C81" s="17"/>
      <c r="D81" s="17"/>
      <c r="E81" s="18">
        <f>SUM(E4:E64)</f>
        <v>54690417.409999996</v>
      </c>
      <c r="F81" s="19">
        <v>0</v>
      </c>
      <c r="G81" s="18">
        <f>SUM(G4:G64)</f>
        <v>13767902.189999999</v>
      </c>
      <c r="H81" s="18">
        <f>E81-G81</f>
        <v>40922515.219999999</v>
      </c>
    </row>
  </sheetData>
  <autoFilter ref="A3:H81" xr:uid="{00000000-0009-0000-0000-000003000000}"/>
  <mergeCells count="2">
    <mergeCell ref="B1:H1"/>
    <mergeCell ref="B2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workbookViewId="0">
      <selection activeCell="A3" sqref="A3:H73"/>
    </sheetView>
  </sheetViews>
  <sheetFormatPr defaultRowHeight="14.4" x14ac:dyDescent="0.3"/>
  <cols>
    <col min="2" max="2" width="39.44140625" customWidth="1"/>
    <col min="3" max="3" width="11.88671875" customWidth="1"/>
    <col min="4" max="4" width="19.88671875" customWidth="1"/>
    <col min="5" max="5" width="18.88671875" customWidth="1"/>
    <col min="6" max="6" width="15.5546875" customWidth="1"/>
    <col min="7" max="7" width="15" customWidth="1"/>
    <col min="8" max="8" width="24.109375" customWidth="1"/>
  </cols>
  <sheetData>
    <row r="1" spans="1:9" ht="21.6" x14ac:dyDescent="0.45">
      <c r="B1" s="86" t="s">
        <v>77</v>
      </c>
      <c r="C1" s="86"/>
      <c r="D1" s="86"/>
      <c r="E1" s="86"/>
      <c r="F1" s="86"/>
      <c r="G1" s="86"/>
      <c r="H1" s="86"/>
    </row>
    <row r="2" spans="1:9" ht="21.6" x14ac:dyDescent="0.45">
      <c r="B2" s="86" t="s">
        <v>103</v>
      </c>
      <c r="C2" s="86"/>
      <c r="D2" s="86"/>
      <c r="E2" s="86"/>
      <c r="F2" s="86"/>
      <c r="G2" s="86"/>
      <c r="H2" s="86"/>
    </row>
    <row r="3" spans="1:9" x14ac:dyDescent="0.3">
      <c r="A3" s="54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9" x14ac:dyDescent="0.3">
      <c r="A4" s="54">
        <v>1</v>
      </c>
      <c r="B4" s="20" t="s">
        <v>51</v>
      </c>
      <c r="C4" s="10">
        <v>8538</v>
      </c>
      <c r="D4" s="46" t="s">
        <v>52</v>
      </c>
      <c r="E4" s="12">
        <v>16402938.460000001</v>
      </c>
      <c r="F4" s="11"/>
      <c r="G4" s="12"/>
      <c r="H4" s="12">
        <f>E4-G4</f>
        <v>16402938.460000001</v>
      </c>
    </row>
    <row r="5" spans="1:9" x14ac:dyDescent="0.3">
      <c r="A5" s="54"/>
      <c r="B5" s="20"/>
      <c r="C5" s="10">
        <v>8540</v>
      </c>
      <c r="D5" s="11">
        <v>46297</v>
      </c>
      <c r="E5" s="12">
        <v>825000</v>
      </c>
      <c r="F5" s="11"/>
      <c r="G5" s="12"/>
      <c r="H5" s="12">
        <f t="shared" ref="H5:H72" si="0">E5-G5</f>
        <v>825000</v>
      </c>
    </row>
    <row r="6" spans="1:9" x14ac:dyDescent="0.3">
      <c r="A6" s="54"/>
      <c r="B6" s="20"/>
      <c r="C6" s="10"/>
      <c r="D6" s="10"/>
      <c r="E6" s="12"/>
      <c r="F6" s="11"/>
      <c r="G6" s="12"/>
      <c r="H6" s="12">
        <f t="shared" si="0"/>
        <v>0</v>
      </c>
    </row>
    <row r="7" spans="1:9" x14ac:dyDescent="0.3">
      <c r="A7" s="54">
        <v>2</v>
      </c>
      <c r="B7" s="21" t="s">
        <v>101</v>
      </c>
      <c r="C7" s="13">
        <v>8575</v>
      </c>
      <c r="D7" s="47" t="s">
        <v>56</v>
      </c>
      <c r="E7" s="15">
        <v>6590558</v>
      </c>
      <c r="F7" s="14"/>
      <c r="G7" s="15"/>
      <c r="H7" s="15">
        <f t="shared" si="0"/>
        <v>6590558</v>
      </c>
    </row>
    <row r="8" spans="1:9" x14ac:dyDescent="0.3">
      <c r="A8" s="54"/>
      <c r="B8" s="21"/>
      <c r="C8" s="13"/>
      <c r="D8" s="14"/>
      <c r="E8" s="15"/>
      <c r="F8" s="14"/>
      <c r="G8" s="15"/>
      <c r="H8" s="15">
        <f t="shared" si="0"/>
        <v>0</v>
      </c>
    </row>
    <row r="9" spans="1:9" x14ac:dyDescent="0.3">
      <c r="A9" s="54"/>
      <c r="B9" s="21"/>
      <c r="C9" s="13"/>
      <c r="D9" s="13"/>
      <c r="E9" s="15"/>
      <c r="F9" s="14"/>
      <c r="G9" s="15"/>
      <c r="H9" s="15">
        <f t="shared" si="0"/>
        <v>0</v>
      </c>
    </row>
    <row r="10" spans="1:9" x14ac:dyDescent="0.3">
      <c r="A10" s="54">
        <v>4</v>
      </c>
      <c r="B10" s="20" t="s">
        <v>97</v>
      </c>
      <c r="C10" s="10">
        <v>8612</v>
      </c>
      <c r="D10" s="11">
        <v>46206</v>
      </c>
      <c r="E10" s="12">
        <v>229522.6</v>
      </c>
      <c r="F10" s="11"/>
      <c r="G10" s="12"/>
      <c r="H10" s="12">
        <f t="shared" si="0"/>
        <v>229522.6</v>
      </c>
    </row>
    <row r="11" spans="1:9" x14ac:dyDescent="0.3">
      <c r="A11" s="54"/>
      <c r="B11" s="20"/>
      <c r="C11" s="10"/>
      <c r="D11" s="10"/>
      <c r="E11" s="12"/>
      <c r="F11" s="11"/>
      <c r="G11" s="12"/>
      <c r="H11" s="12">
        <f t="shared" si="0"/>
        <v>0</v>
      </c>
    </row>
    <row r="12" spans="1:9" x14ac:dyDescent="0.3">
      <c r="A12" s="54"/>
      <c r="B12" s="20"/>
      <c r="C12" s="10"/>
      <c r="D12" s="10"/>
      <c r="E12" s="12"/>
      <c r="F12" s="11"/>
      <c r="G12" s="12"/>
      <c r="H12" s="12">
        <f t="shared" si="0"/>
        <v>0</v>
      </c>
    </row>
    <row r="13" spans="1:9" x14ac:dyDescent="0.3">
      <c r="A13" s="54"/>
      <c r="B13" s="20"/>
      <c r="C13" s="10"/>
      <c r="D13" s="10"/>
      <c r="E13" s="12"/>
      <c r="F13" s="11"/>
      <c r="G13" s="12"/>
      <c r="H13" s="12">
        <f t="shared" si="0"/>
        <v>0</v>
      </c>
      <c r="I13" s="73"/>
    </row>
    <row r="14" spans="1:9" x14ac:dyDescent="0.3">
      <c r="A14" s="54">
        <v>5</v>
      </c>
      <c r="B14" s="21"/>
      <c r="C14" s="13"/>
      <c r="D14" s="14"/>
      <c r="E14" s="15"/>
      <c r="F14" s="14"/>
      <c r="G14" s="15"/>
      <c r="H14" s="15">
        <f t="shared" si="0"/>
        <v>0</v>
      </c>
    </row>
    <row r="15" spans="1:9" x14ac:dyDescent="0.3">
      <c r="A15" s="54"/>
      <c r="B15" s="21"/>
      <c r="C15" s="13"/>
      <c r="D15" s="14"/>
      <c r="E15" s="15"/>
      <c r="F15" s="14"/>
      <c r="G15" s="15"/>
      <c r="H15" s="15">
        <f t="shared" si="0"/>
        <v>0</v>
      </c>
    </row>
    <row r="16" spans="1:9" x14ac:dyDescent="0.3">
      <c r="A16" s="54"/>
      <c r="B16" s="21"/>
      <c r="C16" s="13"/>
      <c r="D16" s="14"/>
      <c r="E16" s="15"/>
      <c r="F16" s="14"/>
      <c r="G16" s="15"/>
      <c r="H16" s="15">
        <f t="shared" si="0"/>
        <v>0</v>
      </c>
    </row>
    <row r="17" spans="1:8" x14ac:dyDescent="0.3">
      <c r="A17" s="54"/>
      <c r="B17" s="21"/>
      <c r="C17" s="13"/>
      <c r="D17" s="13"/>
      <c r="E17" s="15"/>
      <c r="F17" s="14"/>
      <c r="G17" s="15"/>
      <c r="H17" s="15">
        <f t="shared" si="0"/>
        <v>0</v>
      </c>
    </row>
    <row r="18" spans="1:8" x14ac:dyDescent="0.3">
      <c r="A18" s="54">
        <v>6</v>
      </c>
      <c r="B18" s="20"/>
      <c r="C18" s="10"/>
      <c r="D18" s="11"/>
      <c r="E18" s="12"/>
      <c r="F18" s="11"/>
      <c r="G18" s="12"/>
      <c r="H18" s="12">
        <f t="shared" si="0"/>
        <v>0</v>
      </c>
    </row>
    <row r="19" spans="1:8" x14ac:dyDescent="0.3">
      <c r="A19" s="54"/>
      <c r="B19" s="20"/>
      <c r="C19" s="10"/>
      <c r="D19" s="10"/>
      <c r="E19" s="12"/>
      <c r="F19" s="11"/>
      <c r="G19" s="12"/>
      <c r="H19" s="12">
        <f t="shared" si="0"/>
        <v>0</v>
      </c>
    </row>
    <row r="20" spans="1:8" x14ac:dyDescent="0.3">
      <c r="A20" s="54"/>
      <c r="B20" s="20"/>
      <c r="C20" s="10"/>
      <c r="D20" s="10"/>
      <c r="E20" s="12"/>
      <c r="F20" s="11"/>
      <c r="G20" s="12"/>
      <c r="H20" s="12">
        <f t="shared" si="0"/>
        <v>0</v>
      </c>
    </row>
    <row r="21" spans="1:8" x14ac:dyDescent="0.3">
      <c r="A21" s="54"/>
      <c r="B21" s="21"/>
      <c r="C21" s="13"/>
      <c r="D21" s="14"/>
      <c r="E21" s="15"/>
      <c r="F21" s="14"/>
      <c r="G21" s="15"/>
      <c r="H21" s="15">
        <f>E21-G21</f>
        <v>0</v>
      </c>
    </row>
    <row r="22" spans="1:8" x14ac:dyDescent="0.3">
      <c r="A22" s="54"/>
      <c r="B22" s="21"/>
      <c r="C22" s="13"/>
      <c r="D22" s="14"/>
      <c r="E22" s="15"/>
      <c r="F22" s="14"/>
      <c r="G22" s="15"/>
      <c r="H22" s="15">
        <f t="shared" ref="H22:H66" si="1">E22-G22</f>
        <v>0</v>
      </c>
    </row>
    <row r="23" spans="1:8" x14ac:dyDescent="0.3">
      <c r="A23" s="54"/>
      <c r="B23" s="21"/>
      <c r="C23" s="13"/>
      <c r="D23" s="14"/>
      <c r="E23" s="15"/>
      <c r="F23" s="14"/>
      <c r="G23" s="15"/>
      <c r="H23" s="15">
        <f t="shared" si="1"/>
        <v>0</v>
      </c>
    </row>
    <row r="24" spans="1:8" x14ac:dyDescent="0.3">
      <c r="A24" s="54"/>
      <c r="B24" s="20"/>
      <c r="C24" s="10"/>
      <c r="D24" s="11"/>
      <c r="E24" s="12"/>
      <c r="F24" s="11"/>
      <c r="G24" s="12"/>
      <c r="H24" s="12">
        <f t="shared" si="1"/>
        <v>0</v>
      </c>
    </row>
    <row r="25" spans="1:8" x14ac:dyDescent="0.3">
      <c r="A25" s="54"/>
      <c r="B25" s="20"/>
      <c r="C25" s="10"/>
      <c r="D25" s="11"/>
      <c r="E25" s="12"/>
      <c r="F25" s="11"/>
      <c r="G25" s="12"/>
      <c r="H25" s="12">
        <f t="shared" si="1"/>
        <v>0</v>
      </c>
    </row>
    <row r="26" spans="1:8" x14ac:dyDescent="0.3">
      <c r="A26" s="54"/>
      <c r="B26" s="20"/>
      <c r="C26" s="10"/>
      <c r="D26" s="11"/>
      <c r="E26" s="12"/>
      <c r="F26" s="11"/>
      <c r="G26" s="12"/>
      <c r="H26" s="12">
        <f t="shared" si="1"/>
        <v>0</v>
      </c>
    </row>
    <row r="27" spans="1:8" x14ac:dyDescent="0.3">
      <c r="A27" s="54"/>
      <c r="B27" s="21"/>
      <c r="C27" s="13"/>
      <c r="D27" s="14"/>
      <c r="E27" s="15"/>
      <c r="F27" s="14"/>
      <c r="G27" s="15"/>
      <c r="H27" s="15">
        <f t="shared" si="1"/>
        <v>0</v>
      </c>
    </row>
    <row r="28" spans="1:8" x14ac:dyDescent="0.3">
      <c r="A28" s="54"/>
      <c r="B28" s="21"/>
      <c r="C28" s="13"/>
      <c r="D28" s="14"/>
      <c r="E28" s="15"/>
      <c r="F28" s="14"/>
      <c r="G28" s="15"/>
      <c r="H28" s="15">
        <f t="shared" si="1"/>
        <v>0</v>
      </c>
    </row>
    <row r="29" spans="1:8" x14ac:dyDescent="0.3">
      <c r="A29" s="54"/>
      <c r="B29" s="21"/>
      <c r="C29" s="13"/>
      <c r="D29" s="14"/>
      <c r="E29" s="15"/>
      <c r="F29" s="14"/>
      <c r="G29" s="15"/>
      <c r="H29" s="15">
        <f t="shared" si="1"/>
        <v>0</v>
      </c>
    </row>
    <row r="30" spans="1:8" x14ac:dyDescent="0.3">
      <c r="A30" s="54"/>
      <c r="B30" s="20"/>
      <c r="C30" s="10"/>
      <c r="D30" s="11"/>
      <c r="E30" s="12"/>
      <c r="F30" s="11"/>
      <c r="G30" s="12"/>
      <c r="H30" s="12">
        <f t="shared" si="1"/>
        <v>0</v>
      </c>
    </row>
    <row r="31" spans="1:8" x14ac:dyDescent="0.3">
      <c r="A31" s="54"/>
      <c r="B31" s="20"/>
      <c r="C31" s="10"/>
      <c r="D31" s="11"/>
      <c r="E31" s="12"/>
      <c r="F31" s="11"/>
      <c r="G31" s="12"/>
      <c r="H31" s="12">
        <f t="shared" si="1"/>
        <v>0</v>
      </c>
    </row>
    <row r="32" spans="1:8" x14ac:dyDescent="0.3">
      <c r="A32" s="54"/>
      <c r="B32" s="20"/>
      <c r="C32" s="10"/>
      <c r="D32" s="11"/>
      <c r="E32" s="12"/>
      <c r="F32" s="11"/>
      <c r="G32" s="12"/>
      <c r="H32" s="12">
        <f t="shared" si="1"/>
        <v>0</v>
      </c>
    </row>
    <row r="33" spans="1:8" x14ac:dyDescent="0.3">
      <c r="A33" s="54"/>
      <c r="B33" s="21"/>
      <c r="C33" s="13"/>
      <c r="D33" s="14"/>
      <c r="E33" s="15"/>
      <c r="F33" s="14"/>
      <c r="G33" s="15"/>
      <c r="H33" s="15">
        <f t="shared" si="1"/>
        <v>0</v>
      </c>
    </row>
    <row r="34" spans="1:8" x14ac:dyDescent="0.3">
      <c r="A34" s="54"/>
      <c r="B34" s="21"/>
      <c r="C34" s="13"/>
      <c r="D34" s="14"/>
      <c r="E34" s="15"/>
      <c r="F34" s="14"/>
      <c r="G34" s="15"/>
      <c r="H34" s="15">
        <f t="shared" si="1"/>
        <v>0</v>
      </c>
    </row>
    <row r="35" spans="1:8" x14ac:dyDescent="0.3">
      <c r="A35" s="54"/>
      <c r="B35" s="21"/>
      <c r="C35" s="13"/>
      <c r="D35" s="14"/>
      <c r="E35" s="15"/>
      <c r="F35" s="14"/>
      <c r="G35" s="15"/>
      <c r="H35" s="15">
        <f t="shared" si="1"/>
        <v>0</v>
      </c>
    </row>
    <row r="36" spans="1:8" x14ac:dyDescent="0.3">
      <c r="A36" s="54"/>
      <c r="B36" s="20"/>
      <c r="C36" s="10"/>
      <c r="D36" s="11"/>
      <c r="E36" s="12"/>
      <c r="F36" s="11"/>
      <c r="G36" s="12"/>
      <c r="H36" s="12">
        <f t="shared" si="1"/>
        <v>0</v>
      </c>
    </row>
    <row r="37" spans="1:8" x14ac:dyDescent="0.3">
      <c r="A37" s="54"/>
      <c r="B37" s="20"/>
      <c r="C37" s="10"/>
      <c r="D37" s="11"/>
      <c r="E37" s="12"/>
      <c r="F37" s="11"/>
      <c r="G37" s="12"/>
      <c r="H37" s="12">
        <f t="shared" si="1"/>
        <v>0</v>
      </c>
    </row>
    <row r="38" spans="1:8" x14ac:dyDescent="0.3">
      <c r="A38" s="54"/>
      <c r="B38" s="20"/>
      <c r="C38" s="10"/>
      <c r="D38" s="11"/>
      <c r="E38" s="12"/>
      <c r="F38" s="11"/>
      <c r="G38" s="12"/>
      <c r="H38" s="12">
        <f t="shared" si="1"/>
        <v>0</v>
      </c>
    </row>
    <row r="39" spans="1:8" x14ac:dyDescent="0.3">
      <c r="A39" s="54"/>
      <c r="B39" s="21"/>
      <c r="C39" s="13"/>
      <c r="D39" s="14"/>
      <c r="E39" s="15"/>
      <c r="F39" s="14"/>
      <c r="G39" s="15"/>
      <c r="H39" s="15">
        <f t="shared" si="1"/>
        <v>0</v>
      </c>
    </row>
    <row r="40" spans="1:8" x14ac:dyDescent="0.3">
      <c r="A40" s="54"/>
      <c r="B40" s="21"/>
      <c r="C40" s="13"/>
      <c r="D40" s="14"/>
      <c r="E40" s="15"/>
      <c r="F40" s="14"/>
      <c r="G40" s="15"/>
      <c r="H40" s="15">
        <f t="shared" si="1"/>
        <v>0</v>
      </c>
    </row>
    <row r="41" spans="1:8" x14ac:dyDescent="0.3">
      <c r="A41" s="54"/>
      <c r="B41" s="21"/>
      <c r="C41" s="13"/>
      <c r="D41" s="14"/>
      <c r="E41" s="15"/>
      <c r="F41" s="14"/>
      <c r="G41" s="15"/>
      <c r="H41" s="15">
        <f t="shared" si="1"/>
        <v>0</v>
      </c>
    </row>
    <row r="42" spans="1:8" x14ac:dyDescent="0.3">
      <c r="A42" s="54"/>
      <c r="B42" s="20"/>
      <c r="C42" s="10"/>
      <c r="D42" s="11"/>
      <c r="E42" s="12"/>
      <c r="F42" s="11"/>
      <c r="G42" s="12"/>
      <c r="H42" s="12">
        <f t="shared" si="1"/>
        <v>0</v>
      </c>
    </row>
    <row r="43" spans="1:8" x14ac:dyDescent="0.3">
      <c r="A43" s="54"/>
      <c r="B43" s="20"/>
      <c r="C43" s="10"/>
      <c r="D43" s="11"/>
      <c r="E43" s="12"/>
      <c r="F43" s="11"/>
      <c r="G43" s="12"/>
      <c r="H43" s="12">
        <f t="shared" si="1"/>
        <v>0</v>
      </c>
    </row>
    <row r="44" spans="1:8" x14ac:dyDescent="0.3">
      <c r="A44" s="54"/>
      <c r="B44" s="20"/>
      <c r="C44" s="10"/>
      <c r="D44" s="11"/>
      <c r="E44" s="12"/>
      <c r="F44" s="11"/>
      <c r="G44" s="12"/>
      <c r="H44" s="12">
        <f t="shared" si="1"/>
        <v>0</v>
      </c>
    </row>
    <row r="45" spans="1:8" x14ac:dyDescent="0.3">
      <c r="A45" s="54"/>
      <c r="B45" s="21"/>
      <c r="C45" s="13"/>
      <c r="D45" s="14"/>
      <c r="E45" s="15"/>
      <c r="F45" s="14"/>
      <c r="G45" s="15"/>
      <c r="H45" s="15">
        <f t="shared" si="1"/>
        <v>0</v>
      </c>
    </row>
    <row r="46" spans="1:8" x14ac:dyDescent="0.3">
      <c r="A46" s="54"/>
      <c r="B46" s="21"/>
      <c r="C46" s="13"/>
      <c r="D46" s="14"/>
      <c r="E46" s="15"/>
      <c r="F46" s="14"/>
      <c r="G46" s="15"/>
      <c r="H46" s="15">
        <f t="shared" si="1"/>
        <v>0</v>
      </c>
    </row>
    <row r="47" spans="1:8" x14ac:dyDescent="0.3">
      <c r="A47" s="54"/>
      <c r="B47" s="21"/>
      <c r="C47" s="13"/>
      <c r="D47" s="14"/>
      <c r="E47" s="15"/>
      <c r="F47" s="14"/>
      <c r="G47" s="15"/>
      <c r="H47" s="15">
        <f t="shared" si="1"/>
        <v>0</v>
      </c>
    </row>
    <row r="48" spans="1:8" x14ac:dyDescent="0.3">
      <c r="A48" s="54"/>
      <c r="B48" s="20"/>
      <c r="C48" s="10"/>
      <c r="D48" s="11"/>
      <c r="E48" s="12"/>
      <c r="F48" s="11"/>
      <c r="G48" s="12"/>
      <c r="H48" s="12">
        <f t="shared" si="1"/>
        <v>0</v>
      </c>
    </row>
    <row r="49" spans="1:8" x14ac:dyDescent="0.3">
      <c r="A49" s="54"/>
      <c r="B49" s="20"/>
      <c r="C49" s="10"/>
      <c r="D49" s="11"/>
      <c r="E49" s="12"/>
      <c r="F49" s="11"/>
      <c r="G49" s="12"/>
      <c r="H49" s="12">
        <f t="shared" si="1"/>
        <v>0</v>
      </c>
    </row>
    <row r="50" spans="1:8" x14ac:dyDescent="0.3">
      <c r="A50" s="54"/>
      <c r="B50" s="20"/>
      <c r="C50" s="10"/>
      <c r="D50" s="11"/>
      <c r="E50" s="12"/>
      <c r="F50" s="11"/>
      <c r="G50" s="12"/>
      <c r="H50" s="12">
        <f t="shared" si="1"/>
        <v>0</v>
      </c>
    </row>
    <row r="51" spans="1:8" x14ac:dyDescent="0.3">
      <c r="A51" s="54"/>
      <c r="B51" s="21"/>
      <c r="C51" s="13"/>
      <c r="D51" s="14"/>
      <c r="E51" s="15"/>
      <c r="F51" s="14"/>
      <c r="G51" s="15"/>
      <c r="H51" s="15">
        <f t="shared" si="1"/>
        <v>0</v>
      </c>
    </row>
    <row r="52" spans="1:8" x14ac:dyDescent="0.3">
      <c r="A52" s="54"/>
      <c r="B52" s="21"/>
      <c r="C52" s="13"/>
      <c r="D52" s="14"/>
      <c r="E52" s="15"/>
      <c r="F52" s="14"/>
      <c r="G52" s="15"/>
      <c r="H52" s="15">
        <f t="shared" si="1"/>
        <v>0</v>
      </c>
    </row>
    <row r="53" spans="1:8" x14ac:dyDescent="0.3">
      <c r="A53" s="54"/>
      <c r="B53" s="21"/>
      <c r="C53" s="13"/>
      <c r="D53" s="14"/>
      <c r="E53" s="15"/>
      <c r="F53" s="14"/>
      <c r="G53" s="15"/>
      <c r="H53" s="15">
        <f t="shared" si="1"/>
        <v>0</v>
      </c>
    </row>
    <row r="54" spans="1:8" x14ac:dyDescent="0.3">
      <c r="A54" s="54"/>
      <c r="B54" s="20"/>
      <c r="C54" s="10"/>
      <c r="D54" s="11"/>
      <c r="E54" s="12"/>
      <c r="F54" s="11"/>
      <c r="G54" s="12"/>
      <c r="H54" s="12">
        <f t="shared" si="1"/>
        <v>0</v>
      </c>
    </row>
    <row r="55" spans="1:8" x14ac:dyDescent="0.3">
      <c r="A55" s="54"/>
      <c r="B55" s="20"/>
      <c r="C55" s="10"/>
      <c r="D55" s="11"/>
      <c r="E55" s="12"/>
      <c r="F55" s="11"/>
      <c r="G55" s="12"/>
      <c r="H55" s="12">
        <f t="shared" si="1"/>
        <v>0</v>
      </c>
    </row>
    <row r="56" spans="1:8" x14ac:dyDescent="0.3">
      <c r="A56" s="54"/>
      <c r="B56" s="20"/>
      <c r="C56" s="10"/>
      <c r="D56" s="11"/>
      <c r="E56" s="12"/>
      <c r="F56" s="11"/>
      <c r="G56" s="12"/>
      <c r="H56" s="12">
        <f t="shared" si="1"/>
        <v>0</v>
      </c>
    </row>
    <row r="57" spans="1:8" x14ac:dyDescent="0.3">
      <c r="A57" s="54"/>
      <c r="B57" s="21"/>
      <c r="C57" s="13"/>
      <c r="D57" s="14"/>
      <c r="E57" s="15"/>
      <c r="F57" s="14"/>
      <c r="G57" s="15"/>
      <c r="H57" s="15">
        <f t="shared" si="1"/>
        <v>0</v>
      </c>
    </row>
    <row r="58" spans="1:8" x14ac:dyDescent="0.3">
      <c r="A58" s="54"/>
      <c r="B58" s="21"/>
      <c r="C58" s="13"/>
      <c r="D58" s="14"/>
      <c r="E58" s="15"/>
      <c r="F58" s="14"/>
      <c r="G58" s="15"/>
      <c r="H58" s="15">
        <f t="shared" si="1"/>
        <v>0</v>
      </c>
    </row>
    <row r="59" spans="1:8" x14ac:dyDescent="0.3">
      <c r="A59" s="54"/>
      <c r="B59" s="21"/>
      <c r="C59" s="13"/>
      <c r="D59" s="14"/>
      <c r="E59" s="15"/>
      <c r="F59" s="14"/>
      <c r="G59" s="15"/>
      <c r="H59" s="15">
        <f t="shared" si="1"/>
        <v>0</v>
      </c>
    </row>
    <row r="60" spans="1:8" x14ac:dyDescent="0.3">
      <c r="A60" s="54"/>
      <c r="B60" s="20"/>
      <c r="C60" s="10"/>
      <c r="D60" s="11"/>
      <c r="E60" s="12"/>
      <c r="F60" s="11"/>
      <c r="G60" s="12"/>
      <c r="H60" s="12">
        <f t="shared" si="1"/>
        <v>0</v>
      </c>
    </row>
    <row r="61" spans="1:8" x14ac:dyDescent="0.3">
      <c r="A61" s="54"/>
      <c r="B61" s="20"/>
      <c r="C61" s="10"/>
      <c r="D61" s="11"/>
      <c r="E61" s="12"/>
      <c r="F61" s="11"/>
      <c r="G61" s="12"/>
      <c r="H61" s="12">
        <f t="shared" si="1"/>
        <v>0</v>
      </c>
    </row>
    <row r="62" spans="1:8" x14ac:dyDescent="0.3">
      <c r="A62" s="54"/>
      <c r="B62" s="20"/>
      <c r="C62" s="10"/>
      <c r="D62" s="11"/>
      <c r="E62" s="12"/>
      <c r="F62" s="11"/>
      <c r="G62" s="12"/>
      <c r="H62" s="12">
        <f t="shared" si="1"/>
        <v>0</v>
      </c>
    </row>
    <row r="63" spans="1:8" x14ac:dyDescent="0.3">
      <c r="A63" s="54"/>
      <c r="B63" s="21"/>
      <c r="C63" s="13"/>
      <c r="D63" s="14"/>
      <c r="E63" s="15"/>
      <c r="F63" s="14"/>
      <c r="G63" s="15"/>
      <c r="H63" s="15">
        <f t="shared" si="1"/>
        <v>0</v>
      </c>
    </row>
    <row r="64" spans="1:8" x14ac:dyDescent="0.3">
      <c r="A64" s="54"/>
      <c r="B64" s="21"/>
      <c r="C64" s="13"/>
      <c r="D64" s="14"/>
      <c r="E64" s="15"/>
      <c r="F64" s="14"/>
      <c r="G64" s="15"/>
      <c r="H64" s="15">
        <f t="shared" si="1"/>
        <v>0</v>
      </c>
    </row>
    <row r="65" spans="1:8" x14ac:dyDescent="0.3">
      <c r="A65" s="54"/>
      <c r="B65" s="21"/>
      <c r="C65" s="13"/>
      <c r="D65" s="14"/>
      <c r="E65" s="15"/>
      <c r="F65" s="14"/>
      <c r="G65" s="15"/>
      <c r="H65" s="15">
        <f t="shared" si="1"/>
        <v>0</v>
      </c>
    </row>
    <row r="66" spans="1:8" x14ac:dyDescent="0.3">
      <c r="A66" s="54"/>
      <c r="B66" s="20"/>
      <c r="C66" s="10"/>
      <c r="D66" s="11"/>
      <c r="E66" s="12"/>
      <c r="F66" s="11"/>
      <c r="G66" s="12"/>
      <c r="H66" s="12">
        <f t="shared" si="1"/>
        <v>0</v>
      </c>
    </row>
    <row r="67" spans="1:8" x14ac:dyDescent="0.3">
      <c r="A67" s="54"/>
      <c r="B67" s="20"/>
      <c r="C67" s="10"/>
      <c r="D67" s="11"/>
      <c r="E67" s="12"/>
      <c r="F67" s="11"/>
      <c r="G67" s="12"/>
      <c r="H67" s="12">
        <f t="shared" si="0"/>
        <v>0</v>
      </c>
    </row>
    <row r="68" spans="1:8" x14ac:dyDescent="0.3">
      <c r="A68" s="54"/>
      <c r="B68" s="20"/>
      <c r="C68" s="10"/>
      <c r="D68" s="10"/>
      <c r="E68" s="12"/>
      <c r="F68" s="11"/>
      <c r="G68" s="12"/>
      <c r="H68" s="12">
        <f t="shared" si="0"/>
        <v>0</v>
      </c>
    </row>
    <row r="69" spans="1:8" x14ac:dyDescent="0.3">
      <c r="A69" s="54"/>
      <c r="B69" s="21"/>
      <c r="C69" s="13"/>
      <c r="D69" s="14"/>
      <c r="E69" s="15"/>
      <c r="F69" s="14"/>
      <c r="G69" s="15"/>
      <c r="H69" s="15">
        <f t="shared" si="0"/>
        <v>0</v>
      </c>
    </row>
    <row r="70" spans="1:8" x14ac:dyDescent="0.3">
      <c r="A70" s="54"/>
      <c r="B70" s="21"/>
      <c r="C70" s="13"/>
      <c r="D70" s="13"/>
      <c r="E70" s="15"/>
      <c r="F70" s="14"/>
      <c r="G70" s="15"/>
      <c r="H70" s="15">
        <f t="shared" si="0"/>
        <v>0</v>
      </c>
    </row>
    <row r="71" spans="1:8" x14ac:dyDescent="0.3">
      <c r="A71" s="54"/>
      <c r="B71" s="21"/>
      <c r="C71" s="13"/>
      <c r="D71" s="13"/>
      <c r="E71" s="15"/>
      <c r="F71" s="14"/>
      <c r="G71" s="15"/>
      <c r="H71" s="15">
        <f t="shared" si="0"/>
        <v>0</v>
      </c>
    </row>
    <row r="72" spans="1:8" x14ac:dyDescent="0.3">
      <c r="A72" s="54"/>
      <c r="B72" s="21"/>
      <c r="C72" s="13"/>
      <c r="D72" s="13"/>
      <c r="E72" s="15"/>
      <c r="F72" s="14"/>
      <c r="G72" s="15"/>
      <c r="H72" s="15">
        <f t="shared" si="0"/>
        <v>0</v>
      </c>
    </row>
    <row r="73" spans="1:8" x14ac:dyDescent="0.3">
      <c r="A73" s="54"/>
      <c r="B73" s="16"/>
      <c r="C73" s="17"/>
      <c r="D73" s="17"/>
      <c r="E73" s="18">
        <f>SUM(E4:E72)</f>
        <v>24048019.060000002</v>
      </c>
      <c r="F73" s="19"/>
      <c r="G73" s="18">
        <f>SUM(G4:G72)</f>
        <v>0</v>
      </c>
      <c r="H73" s="18">
        <f>E73-G73</f>
        <v>24048019.060000002</v>
      </c>
    </row>
  </sheetData>
  <autoFilter ref="A3:H73" xr:uid="{00000000-0009-0000-0000-000004000000}"/>
  <mergeCells count="2">
    <mergeCell ref="B1:H1"/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zoomScale="90" zoomScaleNormal="90" workbookViewId="0">
      <selection activeCell="I6" sqref="I6"/>
    </sheetView>
  </sheetViews>
  <sheetFormatPr defaultRowHeight="14.4" x14ac:dyDescent="0.3"/>
  <cols>
    <col min="1" max="1" width="6.5546875" customWidth="1"/>
    <col min="2" max="2" width="44.6640625" customWidth="1"/>
    <col min="3" max="3" width="19.33203125" customWidth="1"/>
    <col min="4" max="4" width="23" customWidth="1"/>
    <col min="5" max="5" width="19.88671875" customWidth="1"/>
    <col min="6" max="6" width="15.44140625" customWidth="1"/>
    <col min="7" max="7" width="15.6640625" customWidth="1"/>
    <col min="8" max="8" width="21.44140625" customWidth="1"/>
  </cols>
  <sheetData>
    <row r="1" spans="1:8" ht="21.6" x14ac:dyDescent="0.45">
      <c r="B1" s="86" t="s">
        <v>78</v>
      </c>
      <c r="C1" s="86"/>
      <c r="D1" s="86"/>
      <c r="E1" s="86"/>
      <c r="F1" s="86"/>
      <c r="G1" s="86"/>
      <c r="H1" s="86"/>
    </row>
    <row r="2" spans="1:8" ht="21.6" x14ac:dyDescent="0.45">
      <c r="B2" s="86" t="s">
        <v>102</v>
      </c>
      <c r="C2" s="86"/>
      <c r="D2" s="86"/>
      <c r="E2" s="86"/>
      <c r="F2" s="86"/>
      <c r="G2" s="86"/>
      <c r="H2" s="86"/>
    </row>
    <row r="3" spans="1:8" x14ac:dyDescent="0.3">
      <c r="A3" s="76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8" x14ac:dyDescent="0.3">
      <c r="A4" s="76">
        <v>1</v>
      </c>
      <c r="B4" s="20" t="s">
        <v>28</v>
      </c>
      <c r="C4" s="10">
        <v>8434</v>
      </c>
      <c r="D4" s="46" t="s">
        <v>29</v>
      </c>
      <c r="E4" s="12">
        <v>3678800</v>
      </c>
      <c r="F4" s="11"/>
      <c r="G4" s="12"/>
      <c r="H4" s="12">
        <f>E4-G4</f>
        <v>3678800</v>
      </c>
    </row>
    <row r="5" spans="1:8" x14ac:dyDescent="0.3">
      <c r="A5" s="76"/>
      <c r="B5" s="20"/>
      <c r="C5" s="10"/>
      <c r="D5" s="10"/>
      <c r="E5" s="12"/>
      <c r="F5" s="11"/>
      <c r="G5" s="12"/>
      <c r="H5" s="12">
        <f t="shared" ref="H5:H72" si="0">E5-G5</f>
        <v>0</v>
      </c>
    </row>
    <row r="6" spans="1:8" x14ac:dyDescent="0.3">
      <c r="A6" s="76"/>
      <c r="B6" s="20"/>
      <c r="C6" s="10"/>
      <c r="D6" s="10"/>
      <c r="E6" s="12"/>
      <c r="F6" s="11"/>
      <c r="G6" s="12"/>
      <c r="H6" s="12">
        <f t="shared" si="0"/>
        <v>0</v>
      </c>
    </row>
    <row r="7" spans="1:8" x14ac:dyDescent="0.3">
      <c r="A7" s="76">
        <v>2</v>
      </c>
      <c r="B7" s="21" t="s">
        <v>53</v>
      </c>
      <c r="C7" s="13">
        <v>8436</v>
      </c>
      <c r="D7" s="47" t="s">
        <v>54</v>
      </c>
      <c r="E7" s="15">
        <v>2659279.2000000002</v>
      </c>
      <c r="F7" s="14"/>
      <c r="G7" s="15"/>
      <c r="H7" s="15">
        <f t="shared" si="0"/>
        <v>2659279.2000000002</v>
      </c>
    </row>
    <row r="8" spans="1:8" x14ac:dyDescent="0.3">
      <c r="A8" s="76"/>
      <c r="B8" s="21"/>
      <c r="C8" s="13">
        <v>8435</v>
      </c>
      <c r="D8" s="47" t="s">
        <v>54</v>
      </c>
      <c r="E8" s="15">
        <v>6575000</v>
      </c>
      <c r="F8" s="14"/>
      <c r="G8" s="15"/>
      <c r="H8" s="15">
        <f t="shared" si="0"/>
        <v>6575000</v>
      </c>
    </row>
    <row r="9" spans="1:8" x14ac:dyDescent="0.3">
      <c r="A9" s="76"/>
      <c r="B9" s="21"/>
      <c r="C9" s="13"/>
      <c r="D9" s="13"/>
      <c r="E9" s="15"/>
      <c r="F9" s="14"/>
      <c r="G9" s="15"/>
      <c r="H9" s="15">
        <f t="shared" si="0"/>
        <v>0</v>
      </c>
    </row>
    <row r="10" spans="1:8" x14ac:dyDescent="0.3">
      <c r="A10" s="76">
        <v>3</v>
      </c>
      <c r="B10" s="20" t="s">
        <v>66</v>
      </c>
      <c r="C10" s="10">
        <v>8430</v>
      </c>
      <c r="D10" s="46" t="s">
        <v>29</v>
      </c>
      <c r="E10" s="12">
        <v>3401372</v>
      </c>
      <c r="F10" s="11"/>
      <c r="G10" s="12"/>
      <c r="H10" s="12">
        <f t="shared" si="0"/>
        <v>3401372</v>
      </c>
    </row>
    <row r="11" spans="1:8" x14ac:dyDescent="0.3">
      <c r="A11" s="76"/>
      <c r="B11" s="20"/>
      <c r="C11" s="10">
        <v>8431</v>
      </c>
      <c r="D11" s="48" t="s">
        <v>29</v>
      </c>
      <c r="E11" s="12">
        <v>8105000</v>
      </c>
      <c r="F11" s="11"/>
      <c r="G11" s="12"/>
      <c r="H11" s="12">
        <f t="shared" si="0"/>
        <v>8105000</v>
      </c>
    </row>
    <row r="12" spans="1:8" x14ac:dyDescent="0.3">
      <c r="A12" s="76"/>
      <c r="B12" s="20"/>
      <c r="C12" s="10"/>
      <c r="D12" s="10"/>
      <c r="E12" s="12"/>
      <c r="F12" s="11"/>
      <c r="G12" s="12"/>
      <c r="H12" s="12">
        <f t="shared" si="0"/>
        <v>0</v>
      </c>
    </row>
    <row r="13" spans="1:8" x14ac:dyDescent="0.3">
      <c r="A13" s="76">
        <v>4</v>
      </c>
      <c r="B13" s="21" t="s">
        <v>104</v>
      </c>
      <c r="C13" s="13">
        <v>8507</v>
      </c>
      <c r="D13" s="47" t="s">
        <v>59</v>
      </c>
      <c r="E13" s="15">
        <v>4977436.7</v>
      </c>
      <c r="F13" s="14"/>
      <c r="G13" s="15"/>
      <c r="H13" s="15">
        <f t="shared" si="0"/>
        <v>4977436.7</v>
      </c>
    </row>
    <row r="14" spans="1:8" x14ac:dyDescent="0.3">
      <c r="A14" s="76"/>
      <c r="B14" s="21"/>
      <c r="C14" s="13">
        <v>8432</v>
      </c>
      <c r="D14" s="47" t="s">
        <v>29</v>
      </c>
      <c r="E14" s="15">
        <v>11306200</v>
      </c>
      <c r="F14" s="14"/>
      <c r="G14" s="15"/>
      <c r="H14" s="15">
        <f t="shared" si="0"/>
        <v>11306200</v>
      </c>
    </row>
    <row r="15" spans="1:8" x14ac:dyDescent="0.3">
      <c r="A15" s="76"/>
      <c r="B15" s="21"/>
      <c r="C15" s="13">
        <v>8433</v>
      </c>
      <c r="D15" s="51" t="s">
        <v>29</v>
      </c>
      <c r="E15" s="15">
        <v>5232264.3</v>
      </c>
      <c r="F15" s="14"/>
      <c r="G15" s="15"/>
      <c r="H15" s="15">
        <f t="shared" si="0"/>
        <v>5232264.3</v>
      </c>
    </row>
    <row r="16" spans="1:8" x14ac:dyDescent="0.3">
      <c r="A16" s="76"/>
      <c r="B16" s="21"/>
      <c r="C16" s="13">
        <v>8398</v>
      </c>
      <c r="D16" s="47">
        <v>46174</v>
      </c>
      <c r="E16" s="15">
        <v>5500000</v>
      </c>
      <c r="F16" s="14"/>
      <c r="G16" s="15"/>
      <c r="H16" s="15">
        <f t="shared" si="0"/>
        <v>5500000</v>
      </c>
    </row>
    <row r="17" spans="1:8" x14ac:dyDescent="0.3">
      <c r="A17" s="76"/>
      <c r="B17" s="21"/>
      <c r="C17" s="13"/>
      <c r="D17" s="51"/>
      <c r="E17" s="15"/>
      <c r="F17" s="14"/>
      <c r="G17" s="15"/>
      <c r="H17" s="15"/>
    </row>
    <row r="18" spans="1:8" x14ac:dyDescent="0.3">
      <c r="A18" s="76">
        <v>5</v>
      </c>
      <c r="B18" s="20" t="s">
        <v>70</v>
      </c>
      <c r="C18" s="10">
        <v>8437</v>
      </c>
      <c r="D18" s="46" t="s">
        <v>54</v>
      </c>
      <c r="E18" s="12">
        <v>2782475.4</v>
      </c>
      <c r="F18" s="11"/>
      <c r="G18" s="12"/>
      <c r="H18" s="12">
        <f t="shared" si="0"/>
        <v>2782475.4</v>
      </c>
    </row>
    <row r="19" spans="1:8" x14ac:dyDescent="0.3">
      <c r="A19" s="76"/>
      <c r="B19" s="20"/>
      <c r="C19" s="10"/>
      <c r="D19" s="10"/>
      <c r="E19" s="12"/>
      <c r="F19" s="11"/>
      <c r="G19" s="12"/>
      <c r="H19" s="12">
        <f t="shared" si="0"/>
        <v>0</v>
      </c>
    </row>
    <row r="20" spans="1:8" x14ac:dyDescent="0.3">
      <c r="A20" s="76"/>
      <c r="B20" s="20"/>
      <c r="C20" s="10"/>
      <c r="D20" s="10"/>
      <c r="E20" s="12"/>
      <c r="F20" s="11"/>
      <c r="G20" s="12"/>
      <c r="H20" s="12">
        <f t="shared" si="0"/>
        <v>0</v>
      </c>
    </row>
    <row r="21" spans="1:8" x14ac:dyDescent="0.3">
      <c r="A21" s="76">
        <v>6</v>
      </c>
      <c r="B21" s="21" t="s">
        <v>71</v>
      </c>
      <c r="C21" s="13">
        <v>8429</v>
      </c>
      <c r="D21" s="47" t="s">
        <v>29</v>
      </c>
      <c r="E21" s="15">
        <v>1295571.1000000001</v>
      </c>
      <c r="F21" s="14"/>
      <c r="G21" s="15"/>
      <c r="H21" s="15">
        <f>E21-G21</f>
        <v>1295571.1000000001</v>
      </c>
    </row>
    <row r="22" spans="1:8" x14ac:dyDescent="0.3">
      <c r="A22" s="76"/>
      <c r="B22" s="21"/>
      <c r="C22" s="13"/>
      <c r="D22" s="14"/>
      <c r="E22" s="15"/>
      <c r="F22" s="14"/>
      <c r="G22" s="15"/>
      <c r="H22" s="15">
        <f t="shared" ref="H22:H66" si="1">E22-G22</f>
        <v>0</v>
      </c>
    </row>
    <row r="23" spans="1:8" x14ac:dyDescent="0.3">
      <c r="A23" s="76"/>
      <c r="B23" s="21"/>
      <c r="C23" s="13"/>
      <c r="D23" s="14"/>
      <c r="E23" s="15"/>
      <c r="F23" s="14"/>
      <c r="G23" s="15"/>
      <c r="H23" s="15">
        <f t="shared" si="1"/>
        <v>0</v>
      </c>
    </row>
    <row r="24" spans="1:8" x14ac:dyDescent="0.3">
      <c r="A24" s="76">
        <v>7</v>
      </c>
      <c r="B24" s="20"/>
      <c r="C24" s="10"/>
      <c r="D24" s="11"/>
      <c r="E24" s="12"/>
      <c r="F24" s="11"/>
      <c r="G24" s="12"/>
      <c r="H24" s="12">
        <f t="shared" si="1"/>
        <v>0</v>
      </c>
    </row>
    <row r="25" spans="1:8" x14ac:dyDescent="0.3">
      <c r="A25" s="76"/>
      <c r="B25" s="20"/>
      <c r="C25" s="10"/>
      <c r="D25" s="11"/>
      <c r="E25" s="12"/>
      <c r="F25" s="11"/>
      <c r="G25" s="12"/>
      <c r="H25" s="12">
        <f t="shared" si="1"/>
        <v>0</v>
      </c>
    </row>
    <row r="26" spans="1:8" x14ac:dyDescent="0.3">
      <c r="A26" s="76"/>
      <c r="B26" s="20"/>
      <c r="C26" s="10"/>
      <c r="D26" s="11"/>
      <c r="E26" s="12"/>
      <c r="F26" s="11"/>
      <c r="G26" s="12"/>
      <c r="H26" s="12">
        <f t="shared" si="1"/>
        <v>0</v>
      </c>
    </row>
    <row r="27" spans="1:8" x14ac:dyDescent="0.3">
      <c r="A27" s="76">
        <v>8</v>
      </c>
      <c r="B27" s="21"/>
      <c r="C27" s="13"/>
      <c r="D27" s="14"/>
      <c r="E27" s="15"/>
      <c r="F27" s="14"/>
      <c r="G27" s="15"/>
      <c r="H27" s="15">
        <f t="shared" si="1"/>
        <v>0</v>
      </c>
    </row>
    <row r="28" spans="1:8" x14ac:dyDescent="0.3">
      <c r="A28" s="76"/>
      <c r="B28" s="21"/>
      <c r="C28" s="13"/>
      <c r="D28" s="14"/>
      <c r="E28" s="15"/>
      <c r="F28" s="14"/>
      <c r="G28" s="15"/>
      <c r="H28" s="15">
        <f t="shared" si="1"/>
        <v>0</v>
      </c>
    </row>
    <row r="29" spans="1:8" x14ac:dyDescent="0.3">
      <c r="A29" s="76"/>
      <c r="B29" s="21"/>
      <c r="C29" s="13"/>
      <c r="D29" s="14"/>
      <c r="E29" s="15"/>
      <c r="F29" s="14"/>
      <c r="G29" s="15"/>
      <c r="H29" s="15">
        <f t="shared" si="1"/>
        <v>0</v>
      </c>
    </row>
    <row r="30" spans="1:8" x14ac:dyDescent="0.3">
      <c r="A30" s="76">
        <v>9</v>
      </c>
      <c r="B30" s="20"/>
      <c r="C30" s="10"/>
      <c r="D30" s="11"/>
      <c r="E30" s="12"/>
      <c r="F30" s="11"/>
      <c r="G30" s="12"/>
      <c r="H30" s="12">
        <f t="shared" si="1"/>
        <v>0</v>
      </c>
    </row>
    <row r="31" spans="1:8" x14ac:dyDescent="0.3">
      <c r="A31" s="76"/>
      <c r="B31" s="20"/>
      <c r="C31" s="10"/>
      <c r="D31" s="11"/>
      <c r="E31" s="12"/>
      <c r="F31" s="11"/>
      <c r="G31" s="12"/>
      <c r="H31" s="12">
        <f t="shared" si="1"/>
        <v>0</v>
      </c>
    </row>
    <row r="32" spans="1:8" x14ac:dyDescent="0.3">
      <c r="A32" s="76"/>
      <c r="B32" s="20"/>
      <c r="C32" s="10"/>
      <c r="D32" s="11"/>
      <c r="E32" s="12"/>
      <c r="F32" s="11"/>
      <c r="G32" s="12"/>
      <c r="H32" s="12">
        <f t="shared" si="1"/>
        <v>0</v>
      </c>
    </row>
    <row r="33" spans="1:8" x14ac:dyDescent="0.3">
      <c r="A33" s="76">
        <v>10</v>
      </c>
      <c r="B33" s="21"/>
      <c r="C33" s="13"/>
      <c r="D33" s="14"/>
      <c r="E33" s="15"/>
      <c r="F33" s="14"/>
      <c r="G33" s="15"/>
      <c r="H33" s="15">
        <f t="shared" si="1"/>
        <v>0</v>
      </c>
    </row>
    <row r="34" spans="1:8" x14ac:dyDescent="0.3">
      <c r="A34" s="76"/>
      <c r="B34" s="21"/>
      <c r="C34" s="13"/>
      <c r="D34" s="14"/>
      <c r="E34" s="15"/>
      <c r="F34" s="14"/>
      <c r="G34" s="15"/>
      <c r="H34" s="15">
        <f t="shared" si="1"/>
        <v>0</v>
      </c>
    </row>
    <row r="35" spans="1:8" x14ac:dyDescent="0.3">
      <c r="A35" s="76"/>
      <c r="B35" s="21"/>
      <c r="C35" s="13"/>
      <c r="D35" s="14"/>
      <c r="E35" s="15"/>
      <c r="F35" s="14"/>
      <c r="G35" s="15"/>
      <c r="H35" s="15">
        <f t="shared" si="1"/>
        <v>0</v>
      </c>
    </row>
    <row r="36" spans="1:8" x14ac:dyDescent="0.3">
      <c r="A36" s="76">
        <v>11</v>
      </c>
      <c r="B36" s="20"/>
      <c r="C36" s="10"/>
      <c r="D36" s="11"/>
      <c r="E36" s="12"/>
      <c r="F36" s="11"/>
      <c r="G36" s="12"/>
      <c r="H36" s="12">
        <f t="shared" si="1"/>
        <v>0</v>
      </c>
    </row>
    <row r="37" spans="1:8" x14ac:dyDescent="0.3">
      <c r="A37" s="76"/>
      <c r="B37" s="20"/>
      <c r="C37" s="10"/>
      <c r="D37" s="11"/>
      <c r="E37" s="12"/>
      <c r="F37" s="11"/>
      <c r="G37" s="12"/>
      <c r="H37" s="12">
        <f t="shared" si="1"/>
        <v>0</v>
      </c>
    </row>
    <row r="38" spans="1:8" x14ac:dyDescent="0.3">
      <c r="A38" s="76"/>
      <c r="B38" s="20"/>
      <c r="C38" s="10"/>
      <c r="D38" s="11"/>
      <c r="E38" s="12"/>
      <c r="F38" s="11"/>
      <c r="G38" s="12"/>
      <c r="H38" s="12">
        <f t="shared" si="1"/>
        <v>0</v>
      </c>
    </row>
    <row r="39" spans="1:8" x14ac:dyDescent="0.3">
      <c r="A39" s="76">
        <v>12</v>
      </c>
      <c r="B39" s="21"/>
      <c r="C39" s="13"/>
      <c r="D39" s="14"/>
      <c r="E39" s="15"/>
      <c r="F39" s="14"/>
      <c r="G39" s="15"/>
      <c r="H39" s="15">
        <f t="shared" si="1"/>
        <v>0</v>
      </c>
    </row>
    <row r="40" spans="1:8" x14ac:dyDescent="0.3">
      <c r="A40" s="76"/>
      <c r="B40" s="21"/>
      <c r="C40" s="13"/>
      <c r="D40" s="14"/>
      <c r="E40" s="15"/>
      <c r="F40" s="14"/>
      <c r="G40" s="15"/>
      <c r="H40" s="15">
        <f t="shared" si="1"/>
        <v>0</v>
      </c>
    </row>
    <row r="41" spans="1:8" x14ac:dyDescent="0.3">
      <c r="A41" s="76"/>
      <c r="B41" s="21"/>
      <c r="C41" s="13"/>
      <c r="D41" s="14"/>
      <c r="E41" s="15"/>
      <c r="F41" s="14"/>
      <c r="G41" s="15"/>
      <c r="H41" s="15">
        <f t="shared" si="1"/>
        <v>0</v>
      </c>
    </row>
    <row r="42" spans="1:8" x14ac:dyDescent="0.3">
      <c r="A42" s="76">
        <v>13</v>
      </c>
      <c r="B42" s="20"/>
      <c r="C42" s="10"/>
      <c r="D42" s="11"/>
      <c r="E42" s="12"/>
      <c r="F42" s="11"/>
      <c r="G42" s="12"/>
      <c r="H42" s="12">
        <f t="shared" si="1"/>
        <v>0</v>
      </c>
    </row>
    <row r="43" spans="1:8" x14ac:dyDescent="0.3">
      <c r="A43" s="76"/>
      <c r="B43" s="20"/>
      <c r="C43" s="10"/>
      <c r="D43" s="11"/>
      <c r="E43" s="12"/>
      <c r="F43" s="11"/>
      <c r="G43" s="12"/>
      <c r="H43" s="12">
        <f t="shared" si="1"/>
        <v>0</v>
      </c>
    </row>
    <row r="44" spans="1:8" x14ac:dyDescent="0.3">
      <c r="A44" s="76"/>
      <c r="B44" s="20"/>
      <c r="C44" s="10"/>
      <c r="D44" s="11"/>
      <c r="E44" s="12"/>
      <c r="F44" s="11"/>
      <c r="G44" s="12"/>
      <c r="H44" s="12">
        <f t="shared" si="1"/>
        <v>0</v>
      </c>
    </row>
    <row r="45" spans="1:8" x14ac:dyDescent="0.3">
      <c r="A45" s="76">
        <v>14</v>
      </c>
      <c r="B45" s="21"/>
      <c r="C45" s="13"/>
      <c r="D45" s="14"/>
      <c r="E45" s="15"/>
      <c r="F45" s="14"/>
      <c r="G45" s="15"/>
      <c r="H45" s="15">
        <f t="shared" si="1"/>
        <v>0</v>
      </c>
    </row>
    <row r="46" spans="1:8" x14ac:dyDescent="0.3">
      <c r="A46" s="76"/>
      <c r="B46" s="21"/>
      <c r="C46" s="13"/>
      <c r="D46" s="14"/>
      <c r="E46" s="15"/>
      <c r="F46" s="14"/>
      <c r="G46" s="15"/>
      <c r="H46" s="15">
        <f t="shared" si="1"/>
        <v>0</v>
      </c>
    </row>
    <row r="47" spans="1:8" x14ac:dyDescent="0.3">
      <c r="A47" s="76"/>
      <c r="B47" s="21"/>
      <c r="C47" s="13"/>
      <c r="D47" s="14"/>
      <c r="E47" s="15"/>
      <c r="F47" s="14"/>
      <c r="G47" s="15"/>
      <c r="H47" s="15">
        <f t="shared" si="1"/>
        <v>0</v>
      </c>
    </row>
    <row r="48" spans="1:8" x14ac:dyDescent="0.3">
      <c r="A48" s="76">
        <v>15</v>
      </c>
      <c r="B48" s="20"/>
      <c r="C48" s="10"/>
      <c r="D48" s="11"/>
      <c r="E48" s="12"/>
      <c r="F48" s="11"/>
      <c r="G48" s="12"/>
      <c r="H48" s="12">
        <f t="shared" si="1"/>
        <v>0</v>
      </c>
    </row>
    <row r="49" spans="1:8" x14ac:dyDescent="0.3">
      <c r="A49" s="76"/>
      <c r="B49" s="20"/>
      <c r="C49" s="10"/>
      <c r="D49" s="11"/>
      <c r="E49" s="12"/>
      <c r="F49" s="11"/>
      <c r="G49" s="12"/>
      <c r="H49" s="12">
        <f t="shared" si="1"/>
        <v>0</v>
      </c>
    </row>
    <row r="50" spans="1:8" x14ac:dyDescent="0.3">
      <c r="A50" s="76"/>
      <c r="B50" s="20"/>
      <c r="C50" s="10"/>
      <c r="D50" s="11"/>
      <c r="E50" s="12"/>
      <c r="F50" s="11"/>
      <c r="G50" s="12"/>
      <c r="H50" s="12">
        <f t="shared" si="1"/>
        <v>0</v>
      </c>
    </row>
    <row r="51" spans="1:8" x14ac:dyDescent="0.3">
      <c r="A51" s="76">
        <v>16</v>
      </c>
      <c r="B51" s="21"/>
      <c r="C51" s="13"/>
      <c r="D51" s="14"/>
      <c r="E51" s="15"/>
      <c r="F51" s="14"/>
      <c r="G51" s="15"/>
      <c r="H51" s="15">
        <f t="shared" si="1"/>
        <v>0</v>
      </c>
    </row>
    <row r="52" spans="1:8" x14ac:dyDescent="0.3">
      <c r="A52" s="76"/>
      <c r="B52" s="21"/>
      <c r="C52" s="13"/>
      <c r="D52" s="14"/>
      <c r="E52" s="15"/>
      <c r="F52" s="14"/>
      <c r="G52" s="15"/>
      <c r="H52" s="15">
        <f t="shared" si="1"/>
        <v>0</v>
      </c>
    </row>
    <row r="53" spans="1:8" x14ac:dyDescent="0.3">
      <c r="A53" s="76"/>
      <c r="B53" s="21"/>
      <c r="C53" s="13"/>
      <c r="D53" s="14"/>
      <c r="E53" s="15"/>
      <c r="F53" s="14"/>
      <c r="G53" s="15"/>
      <c r="H53" s="15">
        <f t="shared" si="1"/>
        <v>0</v>
      </c>
    </row>
    <row r="54" spans="1:8" x14ac:dyDescent="0.3">
      <c r="A54" s="76">
        <v>17</v>
      </c>
      <c r="B54" s="20"/>
      <c r="C54" s="10"/>
      <c r="D54" s="11"/>
      <c r="E54" s="12"/>
      <c r="F54" s="11"/>
      <c r="G54" s="12"/>
      <c r="H54" s="12">
        <f t="shared" si="1"/>
        <v>0</v>
      </c>
    </row>
    <row r="55" spans="1:8" x14ac:dyDescent="0.3">
      <c r="A55" s="76"/>
      <c r="B55" s="20"/>
      <c r="C55" s="10"/>
      <c r="D55" s="11"/>
      <c r="E55" s="12"/>
      <c r="F55" s="11"/>
      <c r="G55" s="12"/>
      <c r="H55" s="12">
        <f t="shared" si="1"/>
        <v>0</v>
      </c>
    </row>
    <row r="56" spans="1:8" x14ac:dyDescent="0.3">
      <c r="A56" s="76"/>
      <c r="B56" s="20"/>
      <c r="C56" s="10"/>
      <c r="D56" s="11"/>
      <c r="E56" s="12"/>
      <c r="F56" s="11"/>
      <c r="G56" s="12"/>
      <c r="H56" s="12">
        <f t="shared" si="1"/>
        <v>0</v>
      </c>
    </row>
    <row r="57" spans="1:8" x14ac:dyDescent="0.3">
      <c r="A57" s="76">
        <v>18</v>
      </c>
      <c r="B57" s="21"/>
      <c r="C57" s="13"/>
      <c r="D57" s="14"/>
      <c r="E57" s="15"/>
      <c r="F57" s="14"/>
      <c r="G57" s="15"/>
      <c r="H57" s="15">
        <f t="shared" si="1"/>
        <v>0</v>
      </c>
    </row>
    <row r="58" spans="1:8" x14ac:dyDescent="0.3">
      <c r="A58" s="76"/>
      <c r="B58" s="21"/>
      <c r="C58" s="13"/>
      <c r="D58" s="14"/>
      <c r="E58" s="15"/>
      <c r="F58" s="14"/>
      <c r="G58" s="15"/>
      <c r="H58" s="15">
        <f t="shared" si="1"/>
        <v>0</v>
      </c>
    </row>
    <row r="59" spans="1:8" x14ac:dyDescent="0.3">
      <c r="A59" s="76"/>
      <c r="B59" s="21"/>
      <c r="C59" s="13"/>
      <c r="D59" s="14"/>
      <c r="E59" s="15"/>
      <c r="F59" s="14"/>
      <c r="G59" s="15"/>
      <c r="H59" s="15">
        <f t="shared" si="1"/>
        <v>0</v>
      </c>
    </row>
    <row r="60" spans="1:8" x14ac:dyDescent="0.3">
      <c r="A60" s="76">
        <v>19</v>
      </c>
      <c r="B60" s="20"/>
      <c r="C60" s="10"/>
      <c r="D60" s="11"/>
      <c r="E60" s="12"/>
      <c r="F60" s="11"/>
      <c r="G60" s="12"/>
      <c r="H60" s="12">
        <f t="shared" si="1"/>
        <v>0</v>
      </c>
    </row>
    <row r="61" spans="1:8" x14ac:dyDescent="0.3">
      <c r="A61" s="76"/>
      <c r="B61" s="20"/>
      <c r="C61" s="10"/>
      <c r="D61" s="11"/>
      <c r="E61" s="12"/>
      <c r="F61" s="11"/>
      <c r="G61" s="12"/>
      <c r="H61" s="12">
        <f t="shared" si="1"/>
        <v>0</v>
      </c>
    </row>
    <row r="62" spans="1:8" x14ac:dyDescent="0.3">
      <c r="A62" s="76"/>
      <c r="B62" s="20"/>
      <c r="C62" s="10"/>
      <c r="D62" s="11"/>
      <c r="E62" s="12"/>
      <c r="F62" s="11"/>
      <c r="G62" s="12"/>
      <c r="H62" s="12">
        <f t="shared" si="1"/>
        <v>0</v>
      </c>
    </row>
    <row r="63" spans="1:8" x14ac:dyDescent="0.3">
      <c r="A63" s="76">
        <v>20</v>
      </c>
      <c r="B63" s="21"/>
      <c r="C63" s="13"/>
      <c r="D63" s="14"/>
      <c r="E63" s="15"/>
      <c r="F63" s="14"/>
      <c r="G63" s="15"/>
      <c r="H63" s="15">
        <f t="shared" si="1"/>
        <v>0</v>
      </c>
    </row>
    <row r="64" spans="1:8" x14ac:dyDescent="0.3">
      <c r="A64" s="76"/>
      <c r="B64" s="21"/>
      <c r="C64" s="13"/>
      <c r="D64" s="14"/>
      <c r="E64" s="15"/>
      <c r="F64" s="14"/>
      <c r="G64" s="15"/>
      <c r="H64" s="15">
        <f t="shared" si="1"/>
        <v>0</v>
      </c>
    </row>
    <row r="65" spans="1:8" x14ac:dyDescent="0.3">
      <c r="A65" s="76"/>
      <c r="B65" s="21"/>
      <c r="C65" s="13"/>
      <c r="D65" s="14"/>
      <c r="E65" s="15"/>
      <c r="F65" s="14"/>
      <c r="G65" s="15"/>
      <c r="H65" s="15">
        <f t="shared" si="1"/>
        <v>0</v>
      </c>
    </row>
    <row r="66" spans="1:8" x14ac:dyDescent="0.3">
      <c r="A66" s="76">
        <v>21</v>
      </c>
      <c r="B66" s="20"/>
      <c r="C66" s="10"/>
      <c r="D66" s="11"/>
      <c r="E66" s="12"/>
      <c r="F66" s="11"/>
      <c r="G66" s="12"/>
      <c r="H66" s="12">
        <f t="shared" si="1"/>
        <v>0</v>
      </c>
    </row>
    <row r="67" spans="1:8" x14ac:dyDescent="0.3">
      <c r="A67" s="76"/>
      <c r="B67" s="20"/>
      <c r="C67" s="10"/>
      <c r="D67" s="11"/>
      <c r="E67" s="12"/>
      <c r="F67" s="11"/>
      <c r="G67" s="12"/>
      <c r="H67" s="12">
        <f t="shared" si="0"/>
        <v>0</v>
      </c>
    </row>
    <row r="68" spans="1:8" x14ac:dyDescent="0.3">
      <c r="A68" s="76"/>
      <c r="B68" s="20"/>
      <c r="C68" s="10"/>
      <c r="D68" s="10"/>
      <c r="E68" s="12"/>
      <c r="F68" s="11"/>
      <c r="G68" s="12"/>
      <c r="H68" s="12">
        <f t="shared" si="0"/>
        <v>0</v>
      </c>
    </row>
    <row r="69" spans="1:8" x14ac:dyDescent="0.3">
      <c r="A69" s="76"/>
      <c r="B69" s="21"/>
      <c r="C69" s="13"/>
      <c r="D69" s="14"/>
      <c r="E69" s="15"/>
      <c r="F69" s="14"/>
      <c r="G69" s="15"/>
      <c r="H69" s="15">
        <f t="shared" si="0"/>
        <v>0</v>
      </c>
    </row>
    <row r="70" spans="1:8" x14ac:dyDescent="0.3">
      <c r="A70" s="76">
        <v>22</v>
      </c>
      <c r="B70" s="21"/>
      <c r="C70" s="13"/>
      <c r="D70" s="13"/>
      <c r="E70" s="15"/>
      <c r="F70" s="14"/>
      <c r="G70" s="15"/>
      <c r="H70" s="15">
        <f t="shared" si="0"/>
        <v>0</v>
      </c>
    </row>
    <row r="71" spans="1:8" x14ac:dyDescent="0.3">
      <c r="A71" s="76"/>
      <c r="B71" s="21"/>
      <c r="C71" s="13"/>
      <c r="D71" s="13"/>
      <c r="E71" s="15"/>
      <c r="F71" s="14"/>
      <c r="G71" s="15"/>
      <c r="H71" s="15">
        <f t="shared" si="0"/>
        <v>0</v>
      </c>
    </row>
    <row r="72" spans="1:8" x14ac:dyDescent="0.3">
      <c r="A72" s="76"/>
      <c r="B72" s="21"/>
      <c r="C72" s="13"/>
      <c r="D72" s="13"/>
      <c r="E72" s="15"/>
      <c r="F72" s="14"/>
      <c r="G72" s="15"/>
      <c r="H72" s="15">
        <f t="shared" si="0"/>
        <v>0</v>
      </c>
    </row>
    <row r="73" spans="1:8" x14ac:dyDescent="0.3">
      <c r="A73" s="76"/>
      <c r="B73" s="16"/>
      <c r="C73" s="17"/>
      <c r="D73" s="17"/>
      <c r="E73" s="18">
        <f>SUM(E4:E72)</f>
        <v>55513398.699999996</v>
      </c>
      <c r="F73" s="19"/>
      <c r="G73" s="18">
        <f>SUM(G4:G72)</f>
        <v>0</v>
      </c>
      <c r="H73" s="18">
        <f>E73-G73</f>
        <v>55513398.699999996</v>
      </c>
    </row>
    <row r="74" spans="1:8" ht="18" x14ac:dyDescent="0.35">
      <c r="A74" s="76"/>
      <c r="B74" s="78"/>
      <c r="C74" s="78"/>
      <c r="D74" s="78"/>
      <c r="E74" s="78"/>
      <c r="F74" s="78"/>
      <c r="G74" s="78"/>
      <c r="H74" s="78"/>
    </row>
  </sheetData>
  <mergeCells count="3">
    <mergeCell ref="B1:H1"/>
    <mergeCell ref="B2:H2"/>
    <mergeCell ref="B74:H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5"/>
  <sheetViews>
    <sheetView workbookViewId="0">
      <selection activeCell="J14" sqref="J14"/>
    </sheetView>
  </sheetViews>
  <sheetFormatPr defaultRowHeight="14.4" x14ac:dyDescent="0.3"/>
  <cols>
    <col min="1" max="1" width="4.5546875" style="74" customWidth="1"/>
    <col min="2" max="2" width="28.88671875" customWidth="1"/>
    <col min="3" max="3" width="13.88671875" customWidth="1"/>
    <col min="4" max="4" width="15.33203125" customWidth="1"/>
    <col min="5" max="5" width="15.44140625" customWidth="1"/>
    <col min="6" max="6" width="11.6640625" customWidth="1"/>
    <col min="7" max="7" width="13.33203125" customWidth="1"/>
    <col min="8" max="8" width="18.5546875" customWidth="1"/>
  </cols>
  <sheetData>
    <row r="1" spans="1:8" ht="21.6" x14ac:dyDescent="0.45">
      <c r="B1" s="86" t="s">
        <v>79</v>
      </c>
      <c r="C1" s="86"/>
      <c r="D1" s="86"/>
      <c r="E1" s="86"/>
      <c r="F1" s="86"/>
      <c r="G1" s="86"/>
      <c r="H1" s="86"/>
    </row>
    <row r="2" spans="1:8" ht="21.6" x14ac:dyDescent="0.45">
      <c r="B2" s="86" t="s">
        <v>102</v>
      </c>
      <c r="C2" s="86"/>
      <c r="D2" s="86"/>
      <c r="E2" s="86"/>
      <c r="F2" s="86"/>
      <c r="G2" s="86"/>
      <c r="H2" s="86"/>
    </row>
    <row r="3" spans="1:8" x14ac:dyDescent="0.3">
      <c r="A3" s="75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8" x14ac:dyDescent="0.3">
      <c r="A4" s="75">
        <v>1</v>
      </c>
      <c r="B4" s="20" t="s">
        <v>39</v>
      </c>
      <c r="C4" s="10">
        <v>8468</v>
      </c>
      <c r="D4" s="46" t="s">
        <v>40</v>
      </c>
      <c r="E4" s="12">
        <v>5108040</v>
      </c>
      <c r="F4" s="11"/>
      <c r="G4" s="12"/>
      <c r="H4" s="12">
        <f>E4-G4</f>
        <v>5108040</v>
      </c>
    </row>
    <row r="5" spans="1:8" x14ac:dyDescent="0.3">
      <c r="A5" s="75"/>
      <c r="B5" s="20"/>
      <c r="C5" s="10">
        <v>8465</v>
      </c>
      <c r="D5" s="48" t="s">
        <v>40</v>
      </c>
      <c r="E5" s="12">
        <v>2132156.5699999998</v>
      </c>
      <c r="F5" s="11"/>
      <c r="G5" s="12"/>
      <c r="H5" s="12">
        <f t="shared" ref="H5:H71" si="0">E5-G5</f>
        <v>2132156.5699999998</v>
      </c>
    </row>
    <row r="6" spans="1:8" x14ac:dyDescent="0.3">
      <c r="A6" s="75"/>
      <c r="B6" s="20"/>
      <c r="C6" s="10"/>
      <c r="D6" s="10"/>
      <c r="E6" s="12"/>
      <c r="F6" s="11"/>
      <c r="G6" s="12"/>
      <c r="H6" s="12">
        <f t="shared" si="0"/>
        <v>0</v>
      </c>
    </row>
    <row r="7" spans="1:8" x14ac:dyDescent="0.3">
      <c r="A7" s="75"/>
      <c r="B7" s="20"/>
      <c r="C7" s="10"/>
      <c r="D7" s="10"/>
      <c r="E7" s="12"/>
      <c r="F7" s="11"/>
      <c r="G7" s="12"/>
      <c r="H7" s="12"/>
    </row>
    <row r="8" spans="1:8" x14ac:dyDescent="0.3">
      <c r="A8" s="75">
        <v>2</v>
      </c>
      <c r="B8" s="21" t="s">
        <v>100</v>
      </c>
      <c r="C8" s="13">
        <v>8508</v>
      </c>
      <c r="D8" s="47" t="s">
        <v>59</v>
      </c>
      <c r="E8" s="15">
        <v>2970000</v>
      </c>
      <c r="F8" s="14"/>
      <c r="G8" s="15"/>
      <c r="H8" s="15">
        <f t="shared" si="0"/>
        <v>2970000</v>
      </c>
    </row>
    <row r="9" spans="1:8" x14ac:dyDescent="0.3">
      <c r="A9" s="75"/>
      <c r="B9" s="21"/>
      <c r="C9" s="13">
        <v>8467</v>
      </c>
      <c r="D9" s="47" t="s">
        <v>40</v>
      </c>
      <c r="E9" s="15">
        <v>3255935.73</v>
      </c>
      <c r="F9" s="14"/>
      <c r="G9" s="15"/>
      <c r="H9" s="15">
        <f t="shared" si="0"/>
        <v>3255935.73</v>
      </c>
    </row>
    <row r="10" spans="1:8" x14ac:dyDescent="0.3">
      <c r="A10" s="75"/>
      <c r="B10" s="21"/>
      <c r="C10" s="13">
        <v>8464</v>
      </c>
      <c r="D10" s="51" t="s">
        <v>40</v>
      </c>
      <c r="E10" s="15">
        <v>8205000</v>
      </c>
      <c r="F10" s="14"/>
      <c r="G10" s="15"/>
      <c r="H10" s="15">
        <f t="shared" si="0"/>
        <v>8205000</v>
      </c>
    </row>
    <row r="11" spans="1:8" x14ac:dyDescent="0.3">
      <c r="A11" s="75"/>
      <c r="B11" s="21"/>
      <c r="C11" s="13"/>
      <c r="D11" s="51"/>
      <c r="E11" s="15"/>
      <c r="F11" s="14"/>
      <c r="G11" s="15"/>
      <c r="H11" s="15"/>
    </row>
    <row r="12" spans="1:8" x14ac:dyDescent="0.3">
      <c r="A12" s="75"/>
      <c r="B12" s="21"/>
      <c r="C12" s="13"/>
      <c r="D12" s="51"/>
      <c r="E12" s="15"/>
      <c r="F12" s="14"/>
      <c r="G12" s="15"/>
      <c r="H12" s="15"/>
    </row>
    <row r="13" spans="1:8" x14ac:dyDescent="0.3">
      <c r="A13" s="75">
        <v>3</v>
      </c>
      <c r="B13" s="20" t="s">
        <v>99</v>
      </c>
      <c r="C13" s="10">
        <v>8603</v>
      </c>
      <c r="D13" s="11">
        <v>46145</v>
      </c>
      <c r="E13" s="12">
        <v>1467500</v>
      </c>
      <c r="F13" s="11"/>
      <c r="G13" s="12"/>
      <c r="H13" s="12">
        <f t="shared" si="0"/>
        <v>1467500</v>
      </c>
    </row>
    <row r="14" spans="1:8" x14ac:dyDescent="0.3">
      <c r="A14" s="75"/>
      <c r="B14" s="20"/>
      <c r="C14" s="10"/>
      <c r="D14" s="10"/>
      <c r="E14" s="12"/>
      <c r="F14" s="11"/>
      <c r="G14" s="12"/>
      <c r="H14" s="12">
        <f t="shared" si="0"/>
        <v>0</v>
      </c>
    </row>
    <row r="15" spans="1:8" x14ac:dyDescent="0.3">
      <c r="A15" s="75"/>
      <c r="B15" s="20"/>
      <c r="C15" s="10"/>
      <c r="D15" s="10"/>
      <c r="E15" s="12"/>
      <c r="F15" s="11"/>
      <c r="G15" s="12"/>
      <c r="H15" s="12">
        <f t="shared" si="0"/>
        <v>0</v>
      </c>
    </row>
    <row r="16" spans="1:8" x14ac:dyDescent="0.3">
      <c r="A16" s="75">
        <v>4</v>
      </c>
      <c r="B16" s="21"/>
      <c r="C16" s="13"/>
      <c r="D16" s="14"/>
      <c r="E16" s="15"/>
      <c r="F16" s="14"/>
      <c r="G16" s="15"/>
      <c r="H16" s="15">
        <f t="shared" si="0"/>
        <v>0</v>
      </c>
    </row>
    <row r="17" spans="1:8" x14ac:dyDescent="0.3">
      <c r="A17" s="75"/>
      <c r="B17" s="21"/>
      <c r="C17" s="13"/>
      <c r="D17" s="14"/>
      <c r="E17" s="15"/>
      <c r="F17" s="14"/>
      <c r="G17" s="15"/>
      <c r="H17" s="15">
        <f t="shared" si="0"/>
        <v>0</v>
      </c>
    </row>
    <row r="18" spans="1:8" x14ac:dyDescent="0.3">
      <c r="A18" s="75"/>
      <c r="B18" s="21"/>
      <c r="C18" s="13"/>
      <c r="D18" s="13"/>
      <c r="E18" s="15"/>
      <c r="F18" s="14"/>
      <c r="G18" s="15"/>
      <c r="H18" s="15">
        <f t="shared" si="0"/>
        <v>0</v>
      </c>
    </row>
    <row r="19" spans="1:8" x14ac:dyDescent="0.3">
      <c r="A19" s="75">
        <v>5</v>
      </c>
      <c r="B19" s="20"/>
      <c r="C19" s="10"/>
      <c r="D19" s="11"/>
      <c r="E19" s="12"/>
      <c r="F19" s="11"/>
      <c r="G19" s="12"/>
      <c r="H19" s="12">
        <f t="shared" si="0"/>
        <v>0</v>
      </c>
    </row>
    <row r="20" spans="1:8" x14ac:dyDescent="0.3">
      <c r="A20" s="75"/>
      <c r="B20" s="20"/>
      <c r="C20" s="10"/>
      <c r="D20" s="10"/>
      <c r="E20" s="12"/>
      <c r="F20" s="11"/>
      <c r="G20" s="12"/>
      <c r="H20" s="12">
        <f t="shared" si="0"/>
        <v>0</v>
      </c>
    </row>
    <row r="21" spans="1:8" x14ac:dyDescent="0.3">
      <c r="A21" s="75"/>
      <c r="B21" s="20"/>
      <c r="C21" s="10"/>
      <c r="D21" s="10"/>
      <c r="E21" s="12"/>
      <c r="F21" s="11"/>
      <c r="G21" s="12"/>
      <c r="H21" s="12">
        <f t="shared" si="0"/>
        <v>0</v>
      </c>
    </row>
    <row r="22" spans="1:8" x14ac:dyDescent="0.3">
      <c r="A22" s="75">
        <v>6</v>
      </c>
      <c r="B22" s="21"/>
      <c r="C22" s="13"/>
      <c r="D22" s="14"/>
      <c r="E22" s="15"/>
      <c r="F22" s="14"/>
      <c r="G22" s="15"/>
      <c r="H22" s="15">
        <f t="shared" si="0"/>
        <v>0</v>
      </c>
    </row>
    <row r="23" spans="1:8" x14ac:dyDescent="0.3">
      <c r="A23" s="75"/>
      <c r="B23" s="21"/>
      <c r="C23" s="13"/>
      <c r="D23" s="14"/>
      <c r="E23" s="15"/>
      <c r="F23" s="14"/>
      <c r="G23" s="15"/>
      <c r="H23" s="15">
        <f t="shared" si="0"/>
        <v>0</v>
      </c>
    </row>
    <row r="24" spans="1:8" x14ac:dyDescent="0.3">
      <c r="A24" s="75"/>
      <c r="B24" s="21"/>
      <c r="C24" s="13"/>
      <c r="D24" s="14"/>
      <c r="E24" s="15"/>
      <c r="F24" s="14"/>
      <c r="G24" s="15"/>
      <c r="H24" s="15">
        <f t="shared" si="0"/>
        <v>0</v>
      </c>
    </row>
    <row r="25" spans="1:8" x14ac:dyDescent="0.3">
      <c r="A25" s="75">
        <v>7</v>
      </c>
      <c r="B25" s="20"/>
      <c r="C25" s="10"/>
      <c r="D25" s="11"/>
      <c r="E25" s="12"/>
      <c r="F25" s="11"/>
      <c r="G25" s="12"/>
      <c r="H25" s="12">
        <f t="shared" si="0"/>
        <v>0</v>
      </c>
    </row>
    <row r="26" spans="1:8" x14ac:dyDescent="0.3">
      <c r="A26" s="75"/>
      <c r="B26" s="20"/>
      <c r="C26" s="10"/>
      <c r="D26" s="11"/>
      <c r="E26" s="12"/>
      <c r="F26" s="11"/>
      <c r="G26" s="12"/>
      <c r="H26" s="12">
        <f t="shared" si="0"/>
        <v>0</v>
      </c>
    </row>
    <row r="27" spans="1:8" x14ac:dyDescent="0.3">
      <c r="A27" s="75"/>
      <c r="B27" s="20"/>
      <c r="C27" s="10"/>
      <c r="D27" s="11"/>
      <c r="E27" s="12"/>
      <c r="F27" s="11"/>
      <c r="G27" s="12"/>
      <c r="H27" s="12">
        <f t="shared" si="0"/>
        <v>0</v>
      </c>
    </row>
    <row r="28" spans="1:8" x14ac:dyDescent="0.3">
      <c r="A28" s="75">
        <v>8</v>
      </c>
      <c r="B28" s="21"/>
      <c r="C28" s="13"/>
      <c r="D28" s="14"/>
      <c r="E28" s="15"/>
      <c r="F28" s="14"/>
      <c r="G28" s="15"/>
      <c r="H28" s="15">
        <f t="shared" si="0"/>
        <v>0</v>
      </c>
    </row>
    <row r="29" spans="1:8" x14ac:dyDescent="0.3">
      <c r="A29" s="75"/>
      <c r="B29" s="21"/>
      <c r="C29" s="13"/>
      <c r="D29" s="14"/>
      <c r="E29" s="15"/>
      <c r="F29" s="14"/>
      <c r="G29" s="15"/>
      <c r="H29" s="15">
        <f t="shared" si="0"/>
        <v>0</v>
      </c>
    </row>
    <row r="30" spans="1:8" x14ac:dyDescent="0.3">
      <c r="A30" s="75"/>
      <c r="B30" s="21"/>
      <c r="C30" s="13"/>
      <c r="D30" s="14"/>
      <c r="E30" s="15"/>
      <c r="F30" s="14"/>
      <c r="G30" s="15"/>
      <c r="H30" s="15">
        <f t="shared" si="0"/>
        <v>0</v>
      </c>
    </row>
    <row r="31" spans="1:8" x14ac:dyDescent="0.3">
      <c r="A31" s="75">
        <v>9</v>
      </c>
      <c r="B31" s="20"/>
      <c r="C31" s="10"/>
      <c r="D31" s="11"/>
      <c r="E31" s="12"/>
      <c r="F31" s="11"/>
      <c r="G31" s="12"/>
      <c r="H31" s="12">
        <f t="shared" si="0"/>
        <v>0</v>
      </c>
    </row>
    <row r="32" spans="1:8" x14ac:dyDescent="0.3">
      <c r="A32" s="75"/>
      <c r="B32" s="20"/>
      <c r="C32" s="10"/>
      <c r="D32" s="11"/>
      <c r="E32" s="12"/>
      <c r="F32" s="11"/>
      <c r="G32" s="12"/>
      <c r="H32" s="12">
        <f t="shared" si="0"/>
        <v>0</v>
      </c>
    </row>
    <row r="33" spans="1:8" x14ac:dyDescent="0.3">
      <c r="A33" s="75"/>
      <c r="B33" s="20"/>
      <c r="C33" s="10"/>
      <c r="D33" s="11"/>
      <c r="E33" s="12"/>
      <c r="F33" s="11"/>
      <c r="G33" s="12"/>
      <c r="H33" s="12">
        <f t="shared" si="0"/>
        <v>0</v>
      </c>
    </row>
    <row r="34" spans="1:8" x14ac:dyDescent="0.3">
      <c r="A34" s="75">
        <v>10</v>
      </c>
      <c r="B34" s="21"/>
      <c r="C34" s="13"/>
      <c r="D34" s="14"/>
      <c r="E34" s="15"/>
      <c r="F34" s="14"/>
      <c r="G34" s="15"/>
      <c r="H34" s="15">
        <f t="shared" si="0"/>
        <v>0</v>
      </c>
    </row>
    <row r="35" spans="1:8" x14ac:dyDescent="0.3">
      <c r="A35" s="75"/>
      <c r="B35" s="21"/>
      <c r="C35" s="13"/>
      <c r="D35" s="14"/>
      <c r="E35" s="15"/>
      <c r="F35" s="14"/>
      <c r="G35" s="15"/>
      <c r="H35" s="15">
        <f t="shared" si="0"/>
        <v>0</v>
      </c>
    </row>
    <row r="36" spans="1:8" x14ac:dyDescent="0.3">
      <c r="A36" s="75"/>
      <c r="B36" s="21"/>
      <c r="C36" s="13"/>
      <c r="D36" s="14"/>
      <c r="E36" s="15"/>
      <c r="F36" s="14"/>
      <c r="G36" s="15"/>
      <c r="H36" s="15">
        <f t="shared" si="0"/>
        <v>0</v>
      </c>
    </row>
    <row r="37" spans="1:8" x14ac:dyDescent="0.3">
      <c r="A37" s="75">
        <v>11</v>
      </c>
      <c r="B37" s="20"/>
      <c r="C37" s="10"/>
      <c r="D37" s="11"/>
      <c r="E37" s="12"/>
      <c r="F37" s="11"/>
      <c r="G37" s="12"/>
      <c r="H37" s="12">
        <f t="shared" si="0"/>
        <v>0</v>
      </c>
    </row>
    <row r="38" spans="1:8" x14ac:dyDescent="0.3">
      <c r="A38" s="75"/>
      <c r="B38" s="20"/>
      <c r="C38" s="10"/>
      <c r="D38" s="11"/>
      <c r="E38" s="12"/>
      <c r="F38" s="11"/>
      <c r="G38" s="12"/>
      <c r="H38" s="12">
        <f t="shared" si="0"/>
        <v>0</v>
      </c>
    </row>
    <row r="39" spans="1:8" x14ac:dyDescent="0.3">
      <c r="A39" s="75"/>
      <c r="B39" s="20"/>
      <c r="C39" s="10"/>
      <c r="D39" s="11"/>
      <c r="E39" s="12"/>
      <c r="F39" s="11"/>
      <c r="G39" s="12"/>
      <c r="H39" s="12">
        <f t="shared" si="0"/>
        <v>0</v>
      </c>
    </row>
    <row r="40" spans="1:8" x14ac:dyDescent="0.3">
      <c r="A40" s="75">
        <v>12</v>
      </c>
      <c r="B40" s="21"/>
      <c r="C40" s="13"/>
      <c r="D40" s="14"/>
      <c r="E40" s="15"/>
      <c r="F40" s="14"/>
      <c r="G40" s="15"/>
      <c r="H40" s="15">
        <f t="shared" si="0"/>
        <v>0</v>
      </c>
    </row>
    <row r="41" spans="1:8" x14ac:dyDescent="0.3">
      <c r="A41" s="75"/>
      <c r="B41" s="21"/>
      <c r="C41" s="13"/>
      <c r="D41" s="14"/>
      <c r="E41" s="15"/>
      <c r="F41" s="14"/>
      <c r="G41" s="15"/>
      <c r="H41" s="15">
        <f t="shared" si="0"/>
        <v>0</v>
      </c>
    </row>
    <row r="42" spans="1:8" x14ac:dyDescent="0.3">
      <c r="A42" s="75"/>
      <c r="B42" s="21"/>
      <c r="C42" s="13"/>
      <c r="D42" s="14"/>
      <c r="E42" s="15"/>
      <c r="F42" s="14"/>
      <c r="G42" s="15"/>
      <c r="H42" s="15">
        <f t="shared" si="0"/>
        <v>0</v>
      </c>
    </row>
    <row r="43" spans="1:8" x14ac:dyDescent="0.3">
      <c r="A43" s="75">
        <v>13</v>
      </c>
      <c r="B43" s="20"/>
      <c r="C43" s="10"/>
      <c r="D43" s="11"/>
      <c r="E43" s="12"/>
      <c r="F43" s="11"/>
      <c r="G43" s="12"/>
      <c r="H43" s="12">
        <f t="shared" si="0"/>
        <v>0</v>
      </c>
    </row>
    <row r="44" spans="1:8" x14ac:dyDescent="0.3">
      <c r="A44" s="75"/>
      <c r="B44" s="20"/>
      <c r="C44" s="10"/>
      <c r="D44" s="11"/>
      <c r="E44" s="12"/>
      <c r="F44" s="11"/>
      <c r="G44" s="12"/>
      <c r="H44" s="12">
        <f t="shared" si="0"/>
        <v>0</v>
      </c>
    </row>
    <row r="45" spans="1:8" x14ac:dyDescent="0.3">
      <c r="A45" s="75"/>
      <c r="B45" s="20"/>
      <c r="C45" s="10"/>
      <c r="D45" s="11"/>
      <c r="E45" s="12"/>
      <c r="F45" s="11"/>
      <c r="G45" s="12"/>
      <c r="H45" s="12">
        <f t="shared" si="0"/>
        <v>0</v>
      </c>
    </row>
    <row r="46" spans="1:8" x14ac:dyDescent="0.3">
      <c r="A46" s="75">
        <v>14</v>
      </c>
      <c r="B46" s="21"/>
      <c r="C46" s="13"/>
      <c r="D46" s="14"/>
      <c r="E46" s="15"/>
      <c r="F46" s="14"/>
      <c r="G46" s="15"/>
      <c r="H46" s="15">
        <f t="shared" si="0"/>
        <v>0</v>
      </c>
    </row>
    <row r="47" spans="1:8" x14ac:dyDescent="0.3">
      <c r="A47" s="75"/>
      <c r="B47" s="21"/>
      <c r="C47" s="13"/>
      <c r="D47" s="14"/>
      <c r="E47" s="15"/>
      <c r="F47" s="14"/>
      <c r="G47" s="15"/>
      <c r="H47" s="15">
        <f t="shared" si="0"/>
        <v>0</v>
      </c>
    </row>
    <row r="48" spans="1:8" x14ac:dyDescent="0.3">
      <c r="A48" s="75"/>
      <c r="B48" s="21"/>
      <c r="C48" s="13"/>
      <c r="D48" s="14"/>
      <c r="E48" s="15"/>
      <c r="F48" s="14"/>
      <c r="G48" s="15"/>
      <c r="H48" s="15">
        <f t="shared" si="0"/>
        <v>0</v>
      </c>
    </row>
    <row r="49" spans="1:8" x14ac:dyDescent="0.3">
      <c r="A49" s="75">
        <v>15</v>
      </c>
      <c r="B49" s="20"/>
      <c r="C49" s="10"/>
      <c r="D49" s="11"/>
      <c r="E49" s="12"/>
      <c r="F49" s="11"/>
      <c r="G49" s="12"/>
      <c r="H49" s="12">
        <f t="shared" si="0"/>
        <v>0</v>
      </c>
    </row>
    <row r="50" spans="1:8" x14ac:dyDescent="0.3">
      <c r="A50" s="75"/>
      <c r="B50" s="20"/>
      <c r="C50" s="10"/>
      <c r="D50" s="11"/>
      <c r="E50" s="12"/>
      <c r="F50" s="11"/>
      <c r="G50" s="12"/>
      <c r="H50" s="12">
        <f t="shared" si="0"/>
        <v>0</v>
      </c>
    </row>
    <row r="51" spans="1:8" x14ac:dyDescent="0.3">
      <c r="A51" s="75"/>
      <c r="B51" s="20"/>
      <c r="C51" s="10"/>
      <c r="D51" s="11"/>
      <c r="E51" s="12"/>
      <c r="F51" s="11"/>
      <c r="G51" s="12"/>
      <c r="H51" s="12">
        <f t="shared" si="0"/>
        <v>0</v>
      </c>
    </row>
    <row r="52" spans="1:8" x14ac:dyDescent="0.3">
      <c r="A52" s="75">
        <v>16</v>
      </c>
      <c r="B52" s="21"/>
      <c r="C52" s="13"/>
      <c r="D52" s="14"/>
      <c r="E52" s="15"/>
      <c r="F52" s="14"/>
      <c r="G52" s="15"/>
      <c r="H52" s="15">
        <f t="shared" si="0"/>
        <v>0</v>
      </c>
    </row>
    <row r="53" spans="1:8" x14ac:dyDescent="0.3">
      <c r="A53" s="75"/>
      <c r="B53" s="21"/>
      <c r="C53" s="13"/>
      <c r="D53" s="14"/>
      <c r="E53" s="15"/>
      <c r="F53" s="14"/>
      <c r="G53" s="15"/>
      <c r="H53" s="15">
        <f t="shared" si="0"/>
        <v>0</v>
      </c>
    </row>
    <row r="54" spans="1:8" x14ac:dyDescent="0.3">
      <c r="A54" s="75"/>
      <c r="B54" s="21"/>
      <c r="C54" s="13"/>
      <c r="D54" s="14"/>
      <c r="E54" s="15"/>
      <c r="F54" s="14"/>
      <c r="G54" s="15"/>
      <c r="H54" s="15">
        <f t="shared" si="0"/>
        <v>0</v>
      </c>
    </row>
    <row r="55" spans="1:8" x14ac:dyDescent="0.3">
      <c r="A55" s="75">
        <v>17</v>
      </c>
      <c r="B55" s="20"/>
      <c r="C55" s="10"/>
      <c r="D55" s="11"/>
      <c r="E55" s="12"/>
      <c r="F55" s="11"/>
      <c r="G55" s="12"/>
      <c r="H55" s="12">
        <f>E55-G55</f>
        <v>0</v>
      </c>
    </row>
    <row r="56" spans="1:8" x14ac:dyDescent="0.3">
      <c r="A56" s="75"/>
      <c r="B56" s="20"/>
      <c r="C56" s="10"/>
      <c r="D56" s="11"/>
      <c r="E56" s="12"/>
      <c r="F56" s="11"/>
      <c r="G56" s="12"/>
      <c r="H56" s="12">
        <f t="shared" si="0"/>
        <v>0</v>
      </c>
    </row>
    <row r="57" spans="1:8" x14ac:dyDescent="0.3">
      <c r="A57" s="75"/>
      <c r="B57" s="20"/>
      <c r="C57" s="10"/>
      <c r="D57" s="11"/>
      <c r="E57" s="12"/>
      <c r="F57" s="11"/>
      <c r="G57" s="12"/>
      <c r="H57" s="12">
        <f t="shared" si="0"/>
        <v>0</v>
      </c>
    </row>
    <row r="58" spans="1:8" x14ac:dyDescent="0.3">
      <c r="A58" s="75">
        <v>18</v>
      </c>
      <c r="B58" s="21"/>
      <c r="C58" s="13"/>
      <c r="D58" s="14"/>
      <c r="E58" s="15"/>
      <c r="F58" s="14"/>
      <c r="G58" s="15"/>
      <c r="H58" s="15">
        <f t="shared" si="0"/>
        <v>0</v>
      </c>
    </row>
    <row r="59" spans="1:8" x14ac:dyDescent="0.3">
      <c r="A59" s="75"/>
      <c r="B59" s="21"/>
      <c r="C59" s="13"/>
      <c r="D59" s="14"/>
      <c r="E59" s="15"/>
      <c r="F59" s="14"/>
      <c r="G59" s="15"/>
      <c r="H59" s="15">
        <f t="shared" si="0"/>
        <v>0</v>
      </c>
    </row>
    <row r="60" spans="1:8" x14ac:dyDescent="0.3">
      <c r="A60" s="75"/>
      <c r="B60" s="21"/>
      <c r="C60" s="13"/>
      <c r="D60" s="14"/>
      <c r="E60" s="15"/>
      <c r="F60" s="14"/>
      <c r="G60" s="15"/>
      <c r="H60" s="15">
        <f t="shared" si="0"/>
        <v>0</v>
      </c>
    </row>
    <row r="61" spans="1:8" x14ac:dyDescent="0.3">
      <c r="A61" s="75">
        <v>19</v>
      </c>
      <c r="B61" s="20"/>
      <c r="C61" s="10"/>
      <c r="D61" s="11"/>
      <c r="E61" s="12"/>
      <c r="F61" s="11"/>
      <c r="G61" s="12"/>
      <c r="H61" s="12">
        <f t="shared" si="0"/>
        <v>0</v>
      </c>
    </row>
    <row r="62" spans="1:8" x14ac:dyDescent="0.3">
      <c r="A62" s="75"/>
      <c r="B62" s="20"/>
      <c r="C62" s="10"/>
      <c r="D62" s="11"/>
      <c r="E62" s="12"/>
      <c r="F62" s="11"/>
      <c r="G62" s="12"/>
      <c r="H62" s="12">
        <f t="shared" si="0"/>
        <v>0</v>
      </c>
    </row>
    <row r="63" spans="1:8" x14ac:dyDescent="0.3">
      <c r="A63" s="75"/>
      <c r="B63" s="20"/>
      <c r="C63" s="10"/>
      <c r="D63" s="11"/>
      <c r="E63" s="12"/>
      <c r="F63" s="11"/>
      <c r="G63" s="12"/>
      <c r="H63" s="12">
        <f t="shared" si="0"/>
        <v>0</v>
      </c>
    </row>
    <row r="64" spans="1:8" x14ac:dyDescent="0.3">
      <c r="A64" s="75">
        <v>20</v>
      </c>
      <c r="B64" s="21"/>
      <c r="C64" s="13"/>
      <c r="D64" s="14"/>
      <c r="E64" s="15"/>
      <c r="F64" s="14"/>
      <c r="G64" s="15"/>
      <c r="H64" s="15">
        <f>E64-G64</f>
        <v>0</v>
      </c>
    </row>
    <row r="65" spans="1:8" x14ac:dyDescent="0.3">
      <c r="A65" s="75"/>
      <c r="B65" s="21"/>
      <c r="C65" s="13"/>
      <c r="D65" s="14"/>
      <c r="E65" s="15"/>
      <c r="F65" s="14"/>
      <c r="G65" s="15"/>
      <c r="H65" s="15">
        <f t="shared" si="0"/>
        <v>0</v>
      </c>
    </row>
    <row r="66" spans="1:8" x14ac:dyDescent="0.3">
      <c r="A66" s="75"/>
      <c r="B66" s="21"/>
      <c r="C66" s="13"/>
      <c r="D66" s="14"/>
      <c r="E66" s="15"/>
      <c r="F66" s="14"/>
      <c r="G66" s="15"/>
      <c r="H66" s="15">
        <f t="shared" si="0"/>
        <v>0</v>
      </c>
    </row>
    <row r="67" spans="1:8" x14ac:dyDescent="0.3">
      <c r="A67" s="75">
        <v>21</v>
      </c>
      <c r="B67" s="20"/>
      <c r="C67" s="10"/>
      <c r="D67" s="11"/>
      <c r="E67" s="12"/>
      <c r="F67" s="11"/>
      <c r="G67" s="12"/>
      <c r="H67" s="12">
        <f t="shared" si="0"/>
        <v>0</v>
      </c>
    </row>
    <row r="68" spans="1:8" x14ac:dyDescent="0.3">
      <c r="A68" s="75"/>
      <c r="B68" s="20"/>
      <c r="C68" s="10"/>
      <c r="D68" s="11"/>
      <c r="E68" s="12"/>
      <c r="F68" s="11"/>
      <c r="G68" s="12"/>
      <c r="H68" s="12">
        <f t="shared" si="0"/>
        <v>0</v>
      </c>
    </row>
    <row r="69" spans="1:8" x14ac:dyDescent="0.3">
      <c r="A69" s="75"/>
      <c r="B69" s="20"/>
      <c r="C69" s="10"/>
      <c r="D69" s="10"/>
      <c r="E69" s="12"/>
      <c r="F69" s="11"/>
      <c r="G69" s="12"/>
      <c r="H69" s="12">
        <f t="shared" si="0"/>
        <v>0</v>
      </c>
    </row>
    <row r="70" spans="1:8" x14ac:dyDescent="0.3">
      <c r="A70" s="75">
        <v>22</v>
      </c>
      <c r="B70" s="21"/>
      <c r="C70" s="13"/>
      <c r="D70" s="14"/>
      <c r="E70" s="15"/>
      <c r="F70" s="14"/>
      <c r="G70" s="15"/>
      <c r="H70" s="15">
        <f t="shared" si="0"/>
        <v>0</v>
      </c>
    </row>
    <row r="71" spans="1:8" x14ac:dyDescent="0.3">
      <c r="A71" s="75"/>
      <c r="B71" s="21"/>
      <c r="C71" s="13"/>
      <c r="D71" s="13"/>
      <c r="E71" s="15"/>
      <c r="F71" s="14"/>
      <c r="G71" s="15"/>
      <c r="H71" s="15">
        <f t="shared" si="0"/>
        <v>0</v>
      </c>
    </row>
    <row r="72" spans="1:8" x14ac:dyDescent="0.3">
      <c r="A72" s="75"/>
      <c r="B72" s="21"/>
      <c r="C72" s="13"/>
      <c r="D72" s="13"/>
      <c r="E72" s="15"/>
      <c r="F72" s="14"/>
      <c r="G72" s="15"/>
      <c r="H72" s="15">
        <f t="shared" ref="H72:H73" si="1">E72-G72</f>
        <v>0</v>
      </c>
    </row>
    <row r="73" spans="1:8" x14ac:dyDescent="0.3">
      <c r="A73" s="75"/>
      <c r="B73" s="21"/>
      <c r="C73" s="13"/>
      <c r="D73" s="13"/>
      <c r="E73" s="15"/>
      <c r="F73" s="14"/>
      <c r="G73" s="15"/>
      <c r="H73" s="15">
        <f t="shared" si="1"/>
        <v>0</v>
      </c>
    </row>
    <row r="74" spans="1:8" x14ac:dyDescent="0.3">
      <c r="A74" s="75"/>
      <c r="B74" s="16"/>
      <c r="C74" s="17"/>
      <c r="D74" s="17"/>
      <c r="E74" s="18">
        <f>SUM(E4:E73)</f>
        <v>23138632.300000001</v>
      </c>
      <c r="F74" s="19"/>
      <c r="G74" s="18">
        <f>SUM(G4:G73)</f>
        <v>0</v>
      </c>
      <c r="H74" s="18">
        <f>E74-G74</f>
        <v>23138632.300000001</v>
      </c>
    </row>
    <row r="75" spans="1:8" ht="18" x14ac:dyDescent="0.35">
      <c r="A75" s="75"/>
      <c r="B75" s="78"/>
      <c r="C75" s="78"/>
      <c r="D75" s="78"/>
      <c r="E75" s="78"/>
      <c r="F75" s="78"/>
      <c r="G75" s="78"/>
      <c r="H75" s="78"/>
    </row>
  </sheetData>
  <mergeCells count="3">
    <mergeCell ref="B1:H1"/>
    <mergeCell ref="B2:H2"/>
    <mergeCell ref="B75:H7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"/>
  <sheetViews>
    <sheetView workbookViewId="0">
      <selection activeCell="L2" sqref="L2"/>
    </sheetView>
  </sheetViews>
  <sheetFormatPr defaultRowHeight="14.4" x14ac:dyDescent="0.3"/>
  <cols>
    <col min="1" max="1" width="8.6640625" customWidth="1"/>
    <col min="2" max="2" width="21.33203125" customWidth="1"/>
    <col min="3" max="3" width="17.88671875" customWidth="1"/>
    <col min="4" max="4" width="18" customWidth="1"/>
    <col min="5" max="6" width="15.5546875" customWidth="1"/>
    <col min="7" max="7" width="18.33203125" customWidth="1"/>
    <col min="8" max="8" width="24.5546875" customWidth="1"/>
    <col min="13" max="13" width="5.5546875" customWidth="1"/>
  </cols>
  <sheetData>
    <row r="1" spans="1:8" ht="21.6" x14ac:dyDescent="0.45">
      <c r="A1" s="87" t="s">
        <v>80</v>
      </c>
      <c r="B1" s="83"/>
      <c r="C1" s="83"/>
      <c r="D1" s="83"/>
      <c r="E1" s="83"/>
      <c r="F1" s="83"/>
      <c r="G1" s="83"/>
      <c r="H1" s="83"/>
    </row>
    <row r="2" spans="1:8" ht="21.6" x14ac:dyDescent="0.45">
      <c r="A2" s="88" t="s">
        <v>84</v>
      </c>
      <c r="B2" s="89"/>
      <c r="C2" s="89"/>
      <c r="D2" s="89"/>
      <c r="E2" s="89"/>
      <c r="F2" s="89"/>
      <c r="G2" s="89"/>
      <c r="H2" s="89"/>
    </row>
    <row r="3" spans="1:8" x14ac:dyDescent="0.3">
      <c r="A3" s="54" t="s">
        <v>85</v>
      </c>
      <c r="B3" s="6" t="s">
        <v>6</v>
      </c>
      <c r="C3" s="7" t="s">
        <v>8</v>
      </c>
      <c r="D3" s="7" t="s">
        <v>0</v>
      </c>
      <c r="E3" s="8" t="s">
        <v>7</v>
      </c>
      <c r="F3" s="9" t="s">
        <v>1</v>
      </c>
      <c r="G3" s="8" t="s">
        <v>2</v>
      </c>
      <c r="H3" s="8" t="s">
        <v>3</v>
      </c>
    </row>
    <row r="4" spans="1:8" x14ac:dyDescent="0.3">
      <c r="A4" s="54">
        <v>1</v>
      </c>
      <c r="B4" s="20" t="s">
        <v>30</v>
      </c>
      <c r="C4" s="10">
        <v>8489</v>
      </c>
      <c r="D4" s="46" t="s">
        <v>31</v>
      </c>
      <c r="E4" s="12">
        <v>2384600</v>
      </c>
      <c r="F4" s="11"/>
      <c r="G4" s="12"/>
      <c r="H4" s="12">
        <f>E4-G4</f>
        <v>2384600</v>
      </c>
    </row>
    <row r="5" spans="1:8" x14ac:dyDescent="0.3">
      <c r="A5" s="54"/>
      <c r="B5" s="20"/>
      <c r="C5" s="10"/>
      <c r="D5" s="10"/>
      <c r="E5" s="12"/>
      <c r="F5" s="11"/>
      <c r="G5" s="12"/>
      <c r="H5" s="12">
        <f t="shared" ref="H5:H50" si="0">E5-G5</f>
        <v>0</v>
      </c>
    </row>
    <row r="6" spans="1:8" x14ac:dyDescent="0.3">
      <c r="A6" s="54"/>
      <c r="B6" s="20"/>
      <c r="C6" s="10"/>
      <c r="D6" s="10"/>
      <c r="E6" s="12"/>
      <c r="F6" s="11"/>
      <c r="G6" s="12"/>
      <c r="H6" s="12">
        <f t="shared" si="0"/>
        <v>0</v>
      </c>
    </row>
    <row r="7" spans="1:8" x14ac:dyDescent="0.3">
      <c r="A7" s="54">
        <v>2</v>
      </c>
      <c r="B7" s="21" t="s">
        <v>32</v>
      </c>
      <c r="C7" s="13">
        <v>8486</v>
      </c>
      <c r="D7" s="47" t="s">
        <v>31</v>
      </c>
      <c r="E7" s="15">
        <v>241450</v>
      </c>
      <c r="F7" s="47" t="s">
        <v>81</v>
      </c>
      <c r="G7" s="15">
        <v>241450</v>
      </c>
      <c r="H7" s="15">
        <f t="shared" si="0"/>
        <v>0</v>
      </c>
    </row>
    <row r="8" spans="1:8" x14ac:dyDescent="0.3">
      <c r="A8" s="54"/>
      <c r="B8" s="21"/>
      <c r="C8" s="13"/>
      <c r="D8" s="14"/>
      <c r="E8" s="15"/>
      <c r="F8" s="14"/>
      <c r="G8" s="15"/>
      <c r="H8" s="15">
        <f t="shared" si="0"/>
        <v>0</v>
      </c>
    </row>
    <row r="9" spans="1:8" x14ac:dyDescent="0.3">
      <c r="A9" s="54"/>
      <c r="B9" s="21"/>
      <c r="C9" s="13"/>
      <c r="D9" s="13"/>
      <c r="E9" s="15"/>
      <c r="F9" s="14"/>
      <c r="G9" s="15"/>
      <c r="H9" s="15">
        <f t="shared" si="0"/>
        <v>0</v>
      </c>
    </row>
    <row r="10" spans="1:8" x14ac:dyDescent="0.3">
      <c r="A10" s="54">
        <v>3</v>
      </c>
      <c r="B10" s="20" t="s">
        <v>33</v>
      </c>
      <c r="C10" s="10">
        <v>8491</v>
      </c>
      <c r="D10" s="46" t="s">
        <v>31</v>
      </c>
      <c r="E10" s="12">
        <v>3255000</v>
      </c>
      <c r="F10" s="11"/>
      <c r="G10" s="12"/>
      <c r="H10" s="12">
        <f t="shared" si="0"/>
        <v>3255000</v>
      </c>
    </row>
    <row r="11" spans="1:8" x14ac:dyDescent="0.3">
      <c r="A11" s="54"/>
      <c r="B11" s="20"/>
      <c r="C11" s="10">
        <v>8325</v>
      </c>
      <c r="D11" s="48" t="s">
        <v>34</v>
      </c>
      <c r="E11" s="12">
        <v>4433600</v>
      </c>
      <c r="F11" s="11"/>
      <c r="G11" s="12">
        <v>4433600</v>
      </c>
      <c r="H11" s="12">
        <f t="shared" si="0"/>
        <v>0</v>
      </c>
    </row>
    <row r="12" spans="1:8" x14ac:dyDescent="0.3">
      <c r="A12" s="54"/>
      <c r="B12" s="20"/>
      <c r="C12" s="10"/>
      <c r="D12" s="48"/>
      <c r="E12" s="12"/>
      <c r="F12" s="11"/>
      <c r="G12" s="12"/>
      <c r="H12" s="12"/>
    </row>
    <row r="13" spans="1:8" x14ac:dyDescent="0.3">
      <c r="A13" s="54"/>
      <c r="B13" s="20"/>
      <c r="C13" s="10"/>
      <c r="D13" s="10"/>
      <c r="E13" s="12"/>
      <c r="F13" s="11"/>
      <c r="G13" s="12"/>
      <c r="H13" s="12">
        <f t="shared" si="0"/>
        <v>0</v>
      </c>
    </row>
    <row r="14" spans="1:8" x14ac:dyDescent="0.3">
      <c r="A14" s="54">
        <v>4</v>
      </c>
      <c r="B14" s="21" t="s">
        <v>107</v>
      </c>
      <c r="C14" s="13">
        <v>8488</v>
      </c>
      <c r="D14" s="47" t="s">
        <v>31</v>
      </c>
      <c r="E14" s="15">
        <v>409636</v>
      </c>
      <c r="F14" s="14"/>
      <c r="G14" s="15"/>
      <c r="H14" s="15">
        <f t="shared" si="0"/>
        <v>409636</v>
      </c>
    </row>
    <row r="15" spans="1:8" x14ac:dyDescent="0.3">
      <c r="A15" s="54"/>
      <c r="B15" s="21"/>
      <c r="C15" s="13"/>
      <c r="D15" s="14"/>
      <c r="E15" s="15"/>
      <c r="F15" s="14"/>
      <c r="G15" s="15"/>
      <c r="H15" s="15">
        <f t="shared" si="0"/>
        <v>0</v>
      </c>
    </row>
    <row r="16" spans="1:8" x14ac:dyDescent="0.3">
      <c r="A16" s="54"/>
      <c r="B16" s="21"/>
      <c r="C16" s="13"/>
      <c r="D16" s="13"/>
      <c r="E16" s="15"/>
      <c r="F16" s="14"/>
      <c r="G16" s="15"/>
      <c r="H16" s="15">
        <f t="shared" si="0"/>
        <v>0</v>
      </c>
    </row>
    <row r="17" spans="1:8" x14ac:dyDescent="0.3">
      <c r="A17" s="54">
        <v>5</v>
      </c>
      <c r="B17" s="20" t="s">
        <v>60</v>
      </c>
      <c r="C17" s="10">
        <v>8510</v>
      </c>
      <c r="D17" s="11">
        <v>46055</v>
      </c>
      <c r="E17" s="12">
        <v>3069181.5</v>
      </c>
      <c r="F17" s="11"/>
      <c r="G17" s="12"/>
      <c r="H17" s="12">
        <f t="shared" si="0"/>
        <v>3069181.5</v>
      </c>
    </row>
    <row r="18" spans="1:8" x14ac:dyDescent="0.3">
      <c r="A18" s="54"/>
      <c r="B18" s="20"/>
      <c r="C18" s="10"/>
      <c r="D18" s="10"/>
      <c r="E18" s="12"/>
      <c r="F18" s="11"/>
      <c r="G18" s="12"/>
      <c r="H18" s="12">
        <f t="shared" si="0"/>
        <v>0</v>
      </c>
    </row>
    <row r="19" spans="1:8" x14ac:dyDescent="0.3">
      <c r="A19" s="54"/>
      <c r="B19" s="20"/>
      <c r="C19" s="10"/>
      <c r="D19" s="10"/>
      <c r="E19" s="12"/>
      <c r="F19" s="11"/>
      <c r="G19" s="12"/>
      <c r="H19" s="12">
        <f t="shared" si="0"/>
        <v>0</v>
      </c>
    </row>
    <row r="20" spans="1:8" x14ac:dyDescent="0.3">
      <c r="A20" s="54">
        <v>6</v>
      </c>
      <c r="B20" s="21"/>
      <c r="C20" s="13"/>
      <c r="D20" s="14"/>
      <c r="E20" s="15"/>
      <c r="F20" s="14"/>
      <c r="G20" s="15"/>
      <c r="H20" s="15">
        <f t="shared" ref="H20:H44" si="1">E20-G20</f>
        <v>0</v>
      </c>
    </row>
    <row r="21" spans="1:8" x14ac:dyDescent="0.3">
      <c r="A21" s="54"/>
      <c r="B21" s="21"/>
      <c r="C21" s="13"/>
      <c r="D21" s="14"/>
      <c r="E21" s="15"/>
      <c r="F21" s="14"/>
      <c r="G21" s="15"/>
      <c r="H21" s="15">
        <f t="shared" si="1"/>
        <v>0</v>
      </c>
    </row>
    <row r="22" spans="1:8" x14ac:dyDescent="0.3">
      <c r="A22" s="54"/>
      <c r="B22" s="21"/>
      <c r="C22" s="13"/>
      <c r="D22" s="14"/>
      <c r="E22" s="15"/>
      <c r="F22" s="14"/>
      <c r="G22" s="15"/>
      <c r="H22" s="15">
        <f t="shared" si="1"/>
        <v>0</v>
      </c>
    </row>
    <row r="23" spans="1:8" x14ac:dyDescent="0.3">
      <c r="A23" s="54">
        <v>7</v>
      </c>
      <c r="B23" s="20" t="s">
        <v>83</v>
      </c>
      <c r="C23" s="10">
        <v>8487</v>
      </c>
      <c r="D23" s="46" t="s">
        <v>31</v>
      </c>
      <c r="E23" s="12">
        <v>750900</v>
      </c>
      <c r="F23" s="46" t="s">
        <v>81</v>
      </c>
      <c r="G23" s="12">
        <v>750900</v>
      </c>
      <c r="H23" s="12">
        <f t="shared" si="1"/>
        <v>0</v>
      </c>
    </row>
    <row r="24" spans="1:8" x14ac:dyDescent="0.3">
      <c r="A24" s="54"/>
      <c r="B24" s="20"/>
      <c r="C24" s="10"/>
      <c r="D24" s="11"/>
      <c r="E24" s="12"/>
      <c r="F24" s="11"/>
      <c r="G24" s="12"/>
      <c r="H24" s="12">
        <f t="shared" si="1"/>
        <v>0</v>
      </c>
    </row>
    <row r="25" spans="1:8" x14ac:dyDescent="0.3">
      <c r="A25" s="54"/>
      <c r="B25" s="20"/>
      <c r="C25" s="10"/>
      <c r="D25" s="11"/>
      <c r="E25" s="12"/>
      <c r="F25" s="11"/>
      <c r="G25" s="12"/>
      <c r="H25" s="12">
        <f t="shared" si="1"/>
        <v>0</v>
      </c>
    </row>
    <row r="26" spans="1:8" x14ac:dyDescent="0.3">
      <c r="A26" s="54">
        <v>8</v>
      </c>
      <c r="B26" s="21" t="s">
        <v>72</v>
      </c>
      <c r="C26" s="13">
        <v>8490</v>
      </c>
      <c r="D26" s="47" t="s">
        <v>31</v>
      </c>
      <c r="E26" s="15">
        <v>318540</v>
      </c>
      <c r="F26" s="14"/>
      <c r="G26" s="15"/>
      <c r="H26" s="15">
        <f t="shared" si="1"/>
        <v>318540</v>
      </c>
    </row>
    <row r="27" spans="1:8" x14ac:dyDescent="0.3">
      <c r="A27" s="54"/>
      <c r="B27" s="21"/>
      <c r="C27" s="13"/>
      <c r="D27" s="14"/>
      <c r="E27" s="15"/>
      <c r="F27" s="14"/>
      <c r="G27" s="15"/>
      <c r="H27" s="15">
        <f t="shared" si="1"/>
        <v>0</v>
      </c>
    </row>
    <row r="28" spans="1:8" x14ac:dyDescent="0.3">
      <c r="A28" s="54"/>
      <c r="B28" s="21"/>
      <c r="C28" s="13"/>
      <c r="D28" s="14"/>
      <c r="E28" s="15"/>
      <c r="F28" s="14"/>
      <c r="G28" s="15"/>
      <c r="H28" s="15">
        <f t="shared" si="1"/>
        <v>0</v>
      </c>
    </row>
    <row r="29" spans="1:8" x14ac:dyDescent="0.3">
      <c r="A29" s="54">
        <v>9</v>
      </c>
      <c r="B29" s="20" t="s">
        <v>106</v>
      </c>
      <c r="C29" s="10">
        <v>8485</v>
      </c>
      <c r="D29" s="46" t="s">
        <v>31</v>
      </c>
      <c r="E29" s="12">
        <v>124500</v>
      </c>
      <c r="F29" s="46" t="s">
        <v>82</v>
      </c>
      <c r="G29" s="12">
        <v>124500</v>
      </c>
      <c r="H29" s="12">
        <f t="shared" si="1"/>
        <v>0</v>
      </c>
    </row>
    <row r="30" spans="1:8" x14ac:dyDescent="0.3">
      <c r="A30" s="54"/>
      <c r="B30" s="20"/>
      <c r="C30" s="10"/>
      <c r="D30" s="11"/>
      <c r="E30" s="12"/>
      <c r="F30" s="11"/>
      <c r="G30" s="12"/>
      <c r="H30" s="12">
        <f t="shared" si="1"/>
        <v>0</v>
      </c>
    </row>
    <row r="31" spans="1:8" x14ac:dyDescent="0.3">
      <c r="A31" s="54"/>
      <c r="B31" s="20"/>
      <c r="C31" s="10"/>
      <c r="D31" s="11"/>
      <c r="E31" s="12"/>
      <c r="F31" s="11"/>
      <c r="G31" s="12"/>
      <c r="H31" s="12">
        <f t="shared" si="1"/>
        <v>0</v>
      </c>
    </row>
    <row r="32" spans="1:8" x14ac:dyDescent="0.3">
      <c r="A32" s="54"/>
      <c r="B32" s="20"/>
      <c r="C32" s="10"/>
      <c r="D32" s="11"/>
      <c r="E32" s="12"/>
      <c r="F32" s="11"/>
      <c r="G32" s="12"/>
      <c r="H32" s="12">
        <f t="shared" si="1"/>
        <v>0</v>
      </c>
    </row>
    <row r="33" spans="1:8" x14ac:dyDescent="0.3">
      <c r="A33" s="54"/>
      <c r="B33" s="20"/>
      <c r="C33" s="10"/>
      <c r="D33" s="11"/>
      <c r="E33" s="12"/>
      <c r="F33" s="11"/>
      <c r="G33" s="12"/>
      <c r="H33" s="12">
        <f t="shared" si="1"/>
        <v>0</v>
      </c>
    </row>
    <row r="34" spans="1:8" x14ac:dyDescent="0.3">
      <c r="A34" s="54"/>
      <c r="B34" s="20"/>
      <c r="C34" s="10"/>
      <c r="D34" s="11"/>
      <c r="E34" s="12"/>
      <c r="F34" s="11"/>
      <c r="G34" s="12"/>
      <c r="H34" s="12">
        <f t="shared" si="1"/>
        <v>0</v>
      </c>
    </row>
    <row r="35" spans="1:8" x14ac:dyDescent="0.3">
      <c r="A35" s="54">
        <v>10</v>
      </c>
      <c r="B35" s="21" t="s">
        <v>105</v>
      </c>
      <c r="C35" s="13">
        <v>8414</v>
      </c>
      <c r="D35" s="14">
        <v>46266</v>
      </c>
      <c r="E35" s="15">
        <v>17605516.57</v>
      </c>
      <c r="F35" s="14">
        <v>46144</v>
      </c>
      <c r="G35" s="15">
        <v>17605516.57</v>
      </c>
      <c r="H35" s="15">
        <f t="shared" si="1"/>
        <v>0</v>
      </c>
    </row>
    <row r="36" spans="1:8" x14ac:dyDescent="0.3">
      <c r="A36" s="54"/>
      <c r="B36" s="21"/>
      <c r="C36" s="13"/>
      <c r="D36" s="14"/>
      <c r="E36" s="15"/>
      <c r="F36" s="14"/>
      <c r="G36" s="15"/>
      <c r="H36" s="15">
        <f t="shared" si="1"/>
        <v>0</v>
      </c>
    </row>
    <row r="37" spans="1:8" x14ac:dyDescent="0.3">
      <c r="A37" s="54"/>
      <c r="B37" s="21"/>
      <c r="C37" s="13"/>
      <c r="D37" s="14"/>
      <c r="E37" s="15"/>
      <c r="F37" s="14"/>
      <c r="G37" s="15"/>
      <c r="H37" s="15">
        <f t="shared" si="1"/>
        <v>0</v>
      </c>
    </row>
    <row r="38" spans="1:8" x14ac:dyDescent="0.3">
      <c r="A38" s="54">
        <v>11</v>
      </c>
      <c r="B38" s="20"/>
      <c r="C38" s="10"/>
      <c r="D38" s="11"/>
      <c r="E38" s="12"/>
      <c r="F38" s="11"/>
      <c r="G38" s="12"/>
      <c r="H38" s="12">
        <f t="shared" si="1"/>
        <v>0</v>
      </c>
    </row>
    <row r="39" spans="1:8" x14ac:dyDescent="0.3">
      <c r="A39" s="54"/>
      <c r="B39" s="20"/>
      <c r="C39" s="10"/>
      <c r="D39" s="11"/>
      <c r="E39" s="12"/>
      <c r="F39" s="11"/>
      <c r="G39" s="12"/>
      <c r="H39" s="12">
        <f t="shared" si="1"/>
        <v>0</v>
      </c>
    </row>
    <row r="40" spans="1:8" x14ac:dyDescent="0.3">
      <c r="A40" s="54"/>
      <c r="B40" s="20"/>
      <c r="C40" s="10"/>
      <c r="D40" s="11"/>
      <c r="E40" s="12"/>
      <c r="F40" s="11"/>
      <c r="G40" s="12"/>
      <c r="H40" s="12">
        <f t="shared" si="1"/>
        <v>0</v>
      </c>
    </row>
    <row r="41" spans="1:8" x14ac:dyDescent="0.3">
      <c r="A41" s="54">
        <v>12</v>
      </c>
      <c r="B41" s="21"/>
      <c r="C41" s="13"/>
      <c r="D41" s="14"/>
      <c r="E41" s="15"/>
      <c r="F41" s="14"/>
      <c r="G41" s="15"/>
      <c r="H41" s="15">
        <f t="shared" si="1"/>
        <v>0</v>
      </c>
    </row>
    <row r="42" spans="1:8" x14ac:dyDescent="0.3">
      <c r="A42" s="54"/>
      <c r="B42" s="21"/>
      <c r="C42" s="13"/>
      <c r="D42" s="14"/>
      <c r="E42" s="15"/>
      <c r="F42" s="14"/>
      <c r="G42" s="15"/>
      <c r="H42" s="15">
        <f t="shared" si="1"/>
        <v>0</v>
      </c>
    </row>
    <row r="43" spans="1:8" x14ac:dyDescent="0.3">
      <c r="A43" s="54"/>
      <c r="B43" s="21"/>
      <c r="C43" s="13"/>
      <c r="D43" s="14"/>
      <c r="E43" s="15"/>
      <c r="F43" s="14"/>
      <c r="G43" s="15"/>
      <c r="H43" s="15">
        <f t="shared" si="1"/>
        <v>0</v>
      </c>
    </row>
    <row r="44" spans="1:8" x14ac:dyDescent="0.3">
      <c r="A44" s="54">
        <v>13</v>
      </c>
      <c r="B44" s="20"/>
      <c r="C44" s="10"/>
      <c r="D44" s="11"/>
      <c r="E44" s="12"/>
      <c r="F44" s="11"/>
      <c r="G44" s="12"/>
      <c r="H44" s="12">
        <f t="shared" si="1"/>
        <v>0</v>
      </c>
    </row>
    <row r="45" spans="1:8" x14ac:dyDescent="0.3">
      <c r="A45" s="54"/>
      <c r="B45" s="20"/>
      <c r="C45" s="10"/>
      <c r="D45" s="11"/>
      <c r="E45" s="12"/>
      <c r="F45" s="11"/>
      <c r="G45" s="12"/>
      <c r="H45" s="12">
        <f t="shared" si="0"/>
        <v>0</v>
      </c>
    </row>
    <row r="46" spans="1:8" x14ac:dyDescent="0.3">
      <c r="A46" s="54"/>
      <c r="B46" s="20"/>
      <c r="C46" s="10"/>
      <c r="D46" s="10"/>
      <c r="E46" s="12"/>
      <c r="F46" s="11"/>
      <c r="G46" s="12"/>
      <c r="H46" s="12">
        <f t="shared" si="0"/>
        <v>0</v>
      </c>
    </row>
    <row r="47" spans="1:8" x14ac:dyDescent="0.3">
      <c r="A47" s="54">
        <v>14</v>
      </c>
      <c r="B47" s="21"/>
      <c r="C47" s="13"/>
      <c r="D47" s="14"/>
      <c r="E47" s="15"/>
      <c r="F47" s="14"/>
      <c r="G47" s="15"/>
      <c r="H47" s="15">
        <f t="shared" si="0"/>
        <v>0</v>
      </c>
    </row>
    <row r="48" spans="1:8" x14ac:dyDescent="0.3">
      <c r="A48" s="54"/>
      <c r="B48" s="21"/>
      <c r="C48" s="13"/>
      <c r="D48" s="13"/>
      <c r="E48" s="15"/>
      <c r="F48" s="14"/>
      <c r="G48" s="15"/>
      <c r="H48" s="15">
        <f t="shared" si="0"/>
        <v>0</v>
      </c>
    </row>
    <row r="49" spans="1:8" x14ac:dyDescent="0.3">
      <c r="A49" s="54"/>
      <c r="B49" s="21"/>
      <c r="C49" s="13"/>
      <c r="D49" s="13"/>
      <c r="E49" s="15"/>
      <c r="F49" s="14"/>
      <c r="G49" s="15"/>
      <c r="H49" s="15">
        <f t="shared" si="0"/>
        <v>0</v>
      </c>
    </row>
    <row r="50" spans="1:8" x14ac:dyDescent="0.3">
      <c r="A50" s="54"/>
      <c r="B50" s="21"/>
      <c r="C50" s="13"/>
      <c r="D50" s="13"/>
      <c r="E50" s="15"/>
      <c r="F50" s="14"/>
      <c r="G50" s="15"/>
      <c r="H50" s="15">
        <f t="shared" si="0"/>
        <v>0</v>
      </c>
    </row>
    <row r="51" spans="1:8" x14ac:dyDescent="0.3">
      <c r="A51" s="54"/>
      <c r="B51" s="16"/>
      <c r="C51" s="17"/>
      <c r="D51" s="17"/>
      <c r="E51" s="18">
        <f>SUM(E4:E50)</f>
        <v>32592924.07</v>
      </c>
      <c r="F51" s="19"/>
      <c r="G51" s="18">
        <f>SUM(G4:G50)</f>
        <v>23155966.57</v>
      </c>
      <c r="H51" s="18">
        <f>E51-G51</f>
        <v>9436957.5</v>
      </c>
    </row>
    <row r="52" spans="1:8" ht="18" x14ac:dyDescent="0.35">
      <c r="A52" s="78"/>
      <c r="B52" s="78"/>
      <c r="C52" s="78"/>
      <c r="D52" s="78"/>
      <c r="E52" s="78"/>
      <c r="F52" s="78"/>
      <c r="G52" s="78"/>
    </row>
  </sheetData>
  <mergeCells count="3">
    <mergeCell ref="A52:G52"/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ILEMELA</vt:lpstr>
      <vt:lpstr>BUCHOSA</vt:lpstr>
      <vt:lpstr>NYAMAGANA</vt:lpstr>
      <vt:lpstr>SENGEREMA</vt:lpstr>
      <vt:lpstr>UKEREWE</vt:lpstr>
      <vt:lpstr>KWIMBA</vt:lpstr>
      <vt:lpstr>MAGU</vt:lpstr>
      <vt:lpstr>MISUNGWI</vt:lpstr>
      <vt:lpstr>ILEMELA!Print_Area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2026-03-14T08:17:56Z</cp:lastPrinted>
  <dcterms:created xsi:type="dcterms:W3CDTF">2022-02-02T10:39:34Z</dcterms:created>
  <dcterms:modified xsi:type="dcterms:W3CDTF">2026-03-18T07:35:10Z</dcterms:modified>
</cp:coreProperties>
</file>